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202300"/>
  <mc:AlternateContent xmlns:mc="http://schemas.openxmlformats.org/markup-compatibility/2006">
    <mc:Choice Requires="x15">
      <x15ac:absPath xmlns:x15ac="http://schemas.microsoft.com/office/spreadsheetml/2010/11/ac" url="E:\DocsHDD\FGame\中鱼\StatDemo\intermediateTables\"/>
    </mc:Choice>
  </mc:AlternateContent>
  <xr:revisionPtr revIDLastSave="0" documentId="13_ncr:1_{DADE58AE-880C-43CD-8E8B-9E24B1A8E20F}" xr6:coauthVersionLast="47" xr6:coauthVersionMax="47" xr10:uidLastSave="{00000000-0000-0000-0000-000000000000}"/>
  <bookViews>
    <workbookView xWindow="1350" yWindow="690" windowWidth="49950" windowHeight="20190" xr2:uid="{7B4E9D26-0ECF-4F95-845A-F751411216BF}"/>
  </bookViews>
  <sheets>
    <sheet name="fish_tiers_full" sheetId="1" r:id="rId1"/>
    <sheet name="Sheet1" sheetId="2" r:id="rId2"/>
    <sheet name="挑选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3" i="1"/>
  <c r="G14" i="1"/>
  <c r="G15" i="1"/>
  <c r="G16" i="1"/>
  <c r="G17" i="1"/>
  <c r="G18" i="1"/>
  <c r="G19" i="1"/>
  <c r="G20" i="1"/>
  <c r="G21" i="1"/>
  <c r="G12" i="1"/>
  <c r="G22" i="1"/>
  <c r="G23" i="1"/>
  <c r="G42" i="1"/>
  <c r="G24" i="1"/>
  <c r="G25" i="1"/>
  <c r="G41" i="1"/>
  <c r="G26" i="1"/>
  <c r="G27" i="1"/>
  <c r="G28" i="1"/>
  <c r="G29" i="1"/>
  <c r="G30" i="1"/>
  <c r="G31" i="1"/>
  <c r="G32" i="1"/>
  <c r="G33" i="1"/>
  <c r="G34" i="1"/>
  <c r="G35" i="1"/>
  <c r="G40" i="1"/>
  <c r="G36" i="1"/>
  <c r="G37" i="1"/>
  <c r="G38" i="1"/>
  <c r="G39" i="1"/>
  <c r="G43" i="1"/>
  <c r="G44" i="1"/>
  <c r="G45" i="1"/>
  <c r="G46" i="1"/>
  <c r="G47" i="1"/>
  <c r="G48" i="1"/>
  <c r="G49" i="1"/>
  <c r="G50" i="1"/>
  <c r="G51" i="1"/>
  <c r="G52" i="1"/>
  <c r="G2" i="1"/>
</calcChain>
</file>

<file path=xl/sharedStrings.xml><?xml version="1.0" encoding="utf-8"?>
<sst xmlns="http://schemas.openxmlformats.org/spreadsheetml/2006/main" count="707" uniqueCount="419">
  <si>
    <t>等阶</t>
  </si>
  <si>
    <t>细化等阶</t>
  </si>
  <si>
    <t>中文名</t>
  </si>
  <si>
    <t>英文名</t>
  </si>
  <si>
    <t>平均重量（磅）</t>
  </si>
  <si>
    <t>单价（美元/磅）</t>
  </si>
  <si>
    <t>单条价格</t>
  </si>
  <si>
    <t>白化高首鲟</t>
  </si>
  <si>
    <t>fish_white_sturgeon02</t>
  </si>
  <si>
    <t>尖吻鲟</t>
  </si>
  <si>
    <t>fish_atlantic_sturgeon</t>
  </si>
  <si>
    <t>高首鲟</t>
  </si>
  <si>
    <t>fish_white_sturgeon01</t>
  </si>
  <si>
    <t>鸭嘴鲟</t>
  </si>
  <si>
    <t>fish_american_paddlefish</t>
  </si>
  <si>
    <t>鳄雀鳝</t>
  </si>
  <si>
    <t>fish_alligator_gar</t>
  </si>
  <si>
    <t>美洲条纹狼鲈</t>
  </si>
  <si>
    <t>fish_striped_bass</t>
  </si>
  <si>
    <t>美国红鱼</t>
  </si>
  <si>
    <t>fish_red_drum</t>
  </si>
  <si>
    <t>北美狗鱼</t>
  </si>
  <si>
    <t>fish_muskellunge</t>
  </si>
  <si>
    <t>白斑狗鱼</t>
  </si>
  <si>
    <t>fish_northern_pike</t>
  </si>
  <si>
    <t>白斑刺盖太阳鱼</t>
  </si>
  <si>
    <t>fish_white_crappie</t>
  </si>
  <si>
    <t>短吻鲟</t>
  </si>
  <si>
    <t>fish_shortnose_sturgeon</t>
  </si>
  <si>
    <t>褐鳟</t>
  </si>
  <si>
    <t>fish_brown_trout</t>
  </si>
  <si>
    <t>大口黑鲈</t>
  </si>
  <si>
    <t>fish_largemouth_bass</t>
  </si>
  <si>
    <t>链纹狗鱼</t>
  </si>
  <si>
    <t>fish_chain_pickerel</t>
  </si>
  <si>
    <t>虹鳟</t>
  </si>
  <si>
    <t>fish_rainbow_trout</t>
  </si>
  <si>
    <t>美洲红点鲑</t>
  </si>
  <si>
    <t>fish_brook_trout</t>
  </si>
  <si>
    <t>玻璃梭鲈</t>
  </si>
  <si>
    <t>fish_walleye</t>
  </si>
  <si>
    <t>美洲鳗鲡</t>
  </si>
  <si>
    <t>fish_american_eel</t>
  </si>
  <si>
    <t>小口黑鲈</t>
  </si>
  <si>
    <t>fish_smallmouth_bass</t>
  </si>
  <si>
    <t>七鳃鳗</t>
  </si>
  <si>
    <t>fish_petromyzontidae</t>
  </si>
  <si>
    <t>金鳟</t>
  </si>
  <si>
    <t>fish_golden_trout</t>
  </si>
  <si>
    <t>黑斑刺盖太阳鱼</t>
  </si>
  <si>
    <t>fish_black_crappie</t>
  </si>
  <si>
    <t>丁鱥</t>
  </si>
  <si>
    <t>fish_tench</t>
  </si>
  <si>
    <t>斑点黑鲈</t>
  </si>
  <si>
    <t>fish_spotted_bass</t>
  </si>
  <si>
    <t>岩钝鲈</t>
  </si>
  <si>
    <t>fish_rock_bass</t>
  </si>
  <si>
    <t>铲鮰</t>
  </si>
  <si>
    <t>fish_flathead_catfish</t>
  </si>
  <si>
    <t>白马切喉鳟</t>
  </si>
  <si>
    <t>fish_cutthroat_trout</t>
  </si>
  <si>
    <t>小太阳鱼</t>
  </si>
  <si>
    <t>fish_redspotted_sunfish</t>
  </si>
  <si>
    <t>黄鲈</t>
  </si>
  <si>
    <t>fish_yellow_perch</t>
  </si>
  <si>
    <t>白亚口鱼</t>
  </si>
  <si>
    <t>fish_yaqui_sucker</t>
  </si>
  <si>
    <t>淡水石首鱼</t>
  </si>
  <si>
    <t>fish_freshwater_drum</t>
  </si>
  <si>
    <t>大口牛胭脂鱼</t>
  </si>
  <si>
    <t>fish_bigmouth_buffalo</t>
  </si>
  <si>
    <t>红鳍狗鱼</t>
  </si>
  <si>
    <t>fish_redfin_pickerel</t>
  </si>
  <si>
    <t>蓝鳃太阳鱼</t>
  </si>
  <si>
    <t>fish_bluegill</t>
  </si>
  <si>
    <t>美洲锐唇鲷</t>
  </si>
  <si>
    <t>fish_chiselmouth</t>
  </si>
  <si>
    <t>眼点丽鱼</t>
  </si>
  <si>
    <t>fish_cichla_ocellaris</t>
  </si>
  <si>
    <t>美洲西鲱</t>
  </si>
  <si>
    <t>fish_american_shad</t>
  </si>
  <si>
    <t>小冠太阳鱼</t>
  </si>
  <si>
    <t>fish_redear_sunfish</t>
  </si>
  <si>
    <t>小须美鱥</t>
  </si>
  <si>
    <t>fish_river_chub</t>
  </si>
  <si>
    <t>驼背太阳鱼</t>
  </si>
  <si>
    <t>fish_pumpkinseed_sunfish</t>
  </si>
  <si>
    <t>臼齿鱼</t>
  </si>
  <si>
    <t>fish_hardhead</t>
  </si>
  <si>
    <t>绿太阳鱼</t>
  </si>
  <si>
    <t>fish_green_sunfish</t>
  </si>
  <si>
    <t>双点美鱥</t>
  </si>
  <si>
    <t>fish_hornyhead_chub</t>
  </si>
  <si>
    <t>美鳊</t>
  </si>
  <si>
    <t>fish_common_shiner</t>
  </si>
  <si>
    <t>黑尾沙丁鱼</t>
  </si>
  <si>
    <t>fish_blacktail_shiner</t>
  </si>
  <si>
    <t>弓鳍鱼</t>
  </si>
  <si>
    <t>fish_bowfin</t>
  </si>
  <si>
    <t>灰西鲱</t>
  </si>
  <si>
    <t>fish_alewife</t>
  </si>
  <si>
    <t>黑牛胭脂鱼（大口牛胭脂鱼换皮）</t>
  </si>
  <si>
    <t>fish_black_buffalo</t>
  </si>
  <si>
    <t>黑鮰（斑点叉尾鮰换皮）</t>
  </si>
  <si>
    <t>fish_black_bullhead_catfish</t>
  </si>
  <si>
    <t>蓝鲶鱼（斑点叉尾鮰换皮）</t>
  </si>
  <si>
    <t>fish_blue_catfish</t>
  </si>
  <si>
    <t>长背亚口鱼（白亚口鱼换皮）</t>
  </si>
  <si>
    <t>fish_blue_sucker</t>
  </si>
  <si>
    <t>云斑鮰（斑点叉尾鮰换皮）</t>
  </si>
  <si>
    <t>fish_brown_bullhead</t>
  </si>
  <si>
    <t>fish_buffalo</t>
  </si>
  <si>
    <t>fish_channel_catfish</t>
  </si>
  <si>
    <t>佛罗里达雀鳝（鳄雀鳝换皮）</t>
  </si>
  <si>
    <t>fish_florida_gar</t>
  </si>
  <si>
    <t>fish_golden_shiner</t>
  </si>
  <si>
    <t>加拿大梭鲈（玻璃梭鲈换皮）</t>
  </si>
  <si>
    <t>fish_sauger</t>
  </si>
  <si>
    <t>斑点雀鳝（鳄雀鳝换皮）</t>
  </si>
  <si>
    <t>fish_spotted_gar</t>
  </si>
  <si>
    <t>硬头鳟（暂时）</t>
  </si>
  <si>
    <t>fish_steelhead_trout</t>
  </si>
  <si>
    <t>露仙美鱥（双点美鱥换皮)</t>
  </si>
  <si>
    <t>fish_tennessee_shiner</t>
  </si>
  <si>
    <t>白金火箭（鳄雀鳝换皮）</t>
  </si>
  <si>
    <t>fish_white_alligator_gar</t>
  </si>
  <si>
    <t>白化叉尾鮰（斑点叉尾鮰换皮）</t>
  </si>
  <si>
    <t>fish_white_channel_catfish</t>
  </si>
  <si>
    <t>金体美鳊</t>
    <phoneticPr fontId="18" type="noConversion"/>
  </si>
  <si>
    <t>斑点叉尾鮰</t>
    <phoneticPr fontId="18" type="noConversion"/>
  </si>
  <si>
    <t>水牛鱼</t>
    <phoneticPr fontId="18" type="noConversion"/>
  </si>
  <si>
    <t>细分等阶</t>
  </si>
  <si>
    <t>鱼种</t>
  </si>
  <si>
    <t>name</t>
  </si>
  <si>
    <t>钓具</t>
  </si>
  <si>
    <t>饵</t>
  </si>
  <si>
    <t>水层</t>
  </si>
  <si>
    <t>结构/遮蔽物</t>
  </si>
  <si>
    <t>钓法</t>
  </si>
  <si>
    <t>轻型飞钓竿（#3–6），4–6lb线</t>
  </si>
  <si>
    <t>毛钩、闪电虫、亮片（Spoon）</t>
  </si>
  <si>
    <t>中上层</t>
  </si>
  <si>
    <t>激流、石砾底</t>
  </si>
  <si>
    <t>顺漂/上抛下拉（fly drift）</t>
  </si>
  <si>
    <t>中重型路亚竿，10–20lb线</t>
  </si>
  <si>
    <t>软虫、波爬、旋转亮片</t>
  </si>
  <si>
    <t>表层–中下层</t>
  </si>
  <si>
    <t>水草床、倒木、水藻</t>
  </si>
  <si>
    <t>抛投检索、掉底摆动</t>
  </si>
  <si>
    <t>中型路亚竿，8–12lb线</t>
  </si>
  <si>
    <t>波爬、波纹勺、软虫</t>
  </si>
  <si>
    <t>表层</t>
  </si>
  <si>
    <t>浮水草丛</t>
  </si>
  <si>
    <t>快速带动、jerk</t>
  </si>
  <si>
    <t>轻型飞钓竿（#5–7），4–6lb线</t>
  </si>
  <si>
    <t>毛钩、闪电虫、小拟饵</t>
  </si>
  <si>
    <t>激流、急流池</t>
  </si>
  <si>
    <t>顺漂、堰抛</t>
  </si>
  <si>
    <t>毛钩、闪电虫、亮片</t>
  </si>
  <si>
    <t>森林小溪、石块</t>
  </si>
  <si>
    <t>顺漂/微抛回收</t>
  </si>
  <si>
    <t>中轻型纺车竿，6–10lb线</t>
  </si>
  <si>
    <t>活饵鱼条、jig</t>
  </si>
  <si>
    <t>底层</t>
  </si>
  <si>
    <t>深水洼地、岩石阶</t>
  </si>
  <si>
    <t>拖底抖动、慢速拖钓</t>
  </si>
  <si>
    <t>中重杆，20–30lb线</t>
  </si>
  <si>
    <t>活虾、蛆、内脏</t>
  </si>
  <si>
    <t>水下洞穴、倒木</t>
  </si>
  <si>
    <t>夜间底钓、固定漂</t>
  </si>
  <si>
    <t>小刺钩，细线</t>
  </si>
  <si>
    <t>罐头鱼肉/发酵鱼块</t>
  </si>
  <si>
    <t>河床岩缝</t>
  </si>
  <si>
    <t>诱捕陷阱（trap）</t>
  </si>
  <si>
    <t>毛钩、小径拟饵</t>
  </si>
  <si>
    <t>高山溪石</t>
  </si>
  <si>
    <t>顺漂、点漂</t>
  </si>
  <si>
    <t>浮标杆，4–6lb线</t>
  </si>
  <si>
    <t>红虫、玉米、麦粒</t>
  </si>
  <si>
    <t>软泥底、淤泥</t>
  </si>
  <si>
    <t>浮标钓</t>
  </si>
  <si>
    <t>中重路亚竿，10–15lb线</t>
  </si>
  <si>
    <t>软虫、小勺亮片</t>
  </si>
  <si>
    <t>中层</t>
  </si>
  <si>
    <t>岩石平台、结构性鱼礁</t>
  </si>
  <si>
    <t>中速检索</t>
  </si>
  <si>
    <t>轻中型纺车竿，6–8lb线</t>
  </si>
  <si>
    <t>小软虫、亮片</t>
  </si>
  <si>
    <t>岩岸下、倒木</t>
  </si>
  <si>
    <t>抛投慢速回收</t>
  </si>
  <si>
    <t>重杆，30lb线</t>
  </si>
  <si>
    <t>活鱼块、鸡肝</t>
  </si>
  <si>
    <t>深洞、倒木</t>
  </si>
  <si>
    <t>夜间底钓</t>
  </si>
  <si>
    <t>山溪激流、深潭</t>
  </si>
  <si>
    <t>顺漂、重锤沉底</t>
  </si>
  <si>
    <t>轻杆，2–4lb线</t>
  </si>
  <si>
    <t>小虫、面团</t>
  </si>
  <si>
    <t>表层–中层</t>
  </si>
  <si>
    <t>水草、浮木</t>
  </si>
  <si>
    <t>跳石抖动</t>
  </si>
  <si>
    <t>斑点叉尾鮰</t>
  </si>
  <si>
    <t>中重杆，20lb线</t>
  </si>
  <si>
    <t>臭饵、玉米</t>
  </si>
  <si>
    <t>深水窝、洞穴</t>
  </si>
  <si>
    <t>底钓</t>
  </si>
  <si>
    <t>轻杆，4–6lb线</t>
  </si>
  <si>
    <t>虫类、小鱼条</t>
  </si>
  <si>
    <t>水草、结构鱼礁</t>
  </si>
  <si>
    <t>竖钓/抛投倒收</t>
  </si>
  <si>
    <t>蚯蚓、小虾</t>
  </si>
  <si>
    <t>碎石底、砂砾</t>
  </si>
  <si>
    <t>浮标底钓</t>
  </si>
  <si>
    <t>中杆，10–15lb线</t>
  </si>
  <si>
    <t>蝲蛄、虾条</t>
  </si>
  <si>
    <t>岩石、深坑</t>
  </si>
  <si>
    <t>底部抖动</t>
  </si>
  <si>
    <t>水牛鱼</t>
  </si>
  <si>
    <t>重杆，15–20lb线</t>
  </si>
  <si>
    <t>玉米、面团</t>
  </si>
  <si>
    <t>开阔水域、河心岛</t>
  </si>
  <si>
    <t>漂钓/浮标</t>
  </si>
  <si>
    <t>开阔水域</t>
  </si>
  <si>
    <t>波爬、软虫</t>
  </si>
  <si>
    <t>浅表层</t>
  </si>
  <si>
    <t>快速拉动</t>
  </si>
  <si>
    <t>碎饵、小虫</t>
  </si>
  <si>
    <t>激流、小瀑</t>
  </si>
  <si>
    <t>顺漂/小钩抛投</t>
  </si>
  <si>
    <t>中重杆，12–20lb线</t>
  </si>
  <si>
    <t>活饵鱼、Topwater拟饵</t>
  </si>
  <si>
    <t>水下植被、根系</t>
  </si>
  <si>
    <t>Topwater提拉</t>
  </si>
  <si>
    <t>拖钓杆，10–15lb线</t>
  </si>
  <si>
    <t>Jig拟饵</t>
  </si>
  <si>
    <t>水流通道</t>
  </si>
  <si>
    <t>拖钓/漂流</t>
  </si>
  <si>
    <t>金体美鳊</t>
  </si>
  <si>
    <t>草区、堤岸下</t>
  </si>
  <si>
    <t>活蚯蚓、小虫</t>
  </si>
  <si>
    <t>水草、倒木</t>
  </si>
  <si>
    <t>竖钓/小抛</t>
  </si>
  <si>
    <t>小jig、虫</t>
  </si>
  <si>
    <t>中层–底层</t>
  </si>
  <si>
    <t>刷pile、倒木</t>
  </si>
  <si>
    <t>竖钓/闪光慢提</t>
  </si>
  <si>
    <t>面团、蚯蚓</t>
  </si>
  <si>
    <t>水草、浅礁</t>
  </si>
  <si>
    <t>竖钓/轻抛</t>
  </si>
  <si>
    <t>面团、小虫</t>
  </si>
  <si>
    <t>砂砾、岩缝</t>
  </si>
  <si>
    <t>漂钓/饵团</t>
  </si>
  <si>
    <t>中杆，6–10lb线</t>
  </si>
  <si>
    <t>青蛙拟饵、活虾</t>
  </si>
  <si>
    <t>水草、浅滩</t>
  </si>
  <si>
    <t>Topwater拖行</t>
  </si>
  <si>
    <t>面团、面饵</t>
  </si>
  <si>
    <t>漂钓/流钓</t>
  </si>
  <si>
    <t>水草、滨岸</t>
  </si>
  <si>
    <t>面团、虫</t>
  </si>
  <si>
    <t>岩石裂缝</t>
  </si>
  <si>
    <t>底钓/浮标</t>
  </si>
  <si>
    <t>砂砾、石底</t>
  </si>
  <si>
    <t>飞蝇钓/小型路亚</t>
  </si>
  <si>
    <t>拟小昆虫、小鱼型软饵</t>
  </si>
  <si>
    <t>冷水溪流、岩石阴影</t>
  </si>
  <si>
    <t>飞蝇漂流或微型Crank慢收</t>
  </si>
  <si>
    <t>路亚</t>
  </si>
  <si>
    <t>顶水青蛙、德州钓组软虫</t>
  </si>
  <si>
    <t>浅中层</t>
  </si>
  <si>
    <t>倒木、水草丛</t>
  </si>
  <si>
    <t>顶水爆破或穿草慢拖</t>
  </si>
  <si>
    <t>小型Spinnerbait、小软鱼</t>
  </si>
  <si>
    <t>沿岸水草边缘</t>
  </si>
  <si>
    <t>快速抽动路亚诱袭</t>
  </si>
  <si>
    <t>飞蝇钓/小路亚</t>
  </si>
  <si>
    <t>拟昆虫、迷你金属亮片</t>
  </si>
  <si>
    <t>冷水流动水域</t>
  </si>
  <si>
    <t>飞蝇随流漂流或小铁片慢收</t>
  </si>
  <si>
    <t>飞蝇钓/小软虫</t>
  </si>
  <si>
    <t>拟蝇、小虫</t>
  </si>
  <si>
    <t>冷水小溪、石块缝隙</t>
  </si>
  <si>
    <t>飞蝇漂流或微型软虫抖动</t>
  </si>
  <si>
    <t>路亚/浮钓</t>
  </si>
  <si>
    <t>白色软虫、夜光Jig、小死鱼</t>
  </si>
  <si>
    <t>中底层</t>
  </si>
  <si>
    <t>湖底缓坡、深水区</t>
  </si>
  <si>
    <t>夜间慢拖底层Jig钓</t>
  </si>
  <si>
    <t>浮钓/底钓</t>
  </si>
  <si>
    <t>活蚯蚓、死虾</t>
  </si>
  <si>
    <t>石堆、深水洞</t>
  </si>
  <si>
    <t>滑漂钓底，静守为主</t>
  </si>
  <si>
    <t>浮钓</t>
  </si>
  <si>
    <t>活蚯蚓、小鱼块</t>
  </si>
  <si>
    <t>流水中岩石缝隙</t>
  </si>
  <si>
    <t>滑漂到底，长时间守钓</t>
  </si>
  <si>
    <t>飞蝇钓/超轻路亚</t>
  </si>
  <si>
    <t>昆虫拟饵、超小亮片</t>
  </si>
  <si>
    <t>冷水清澈溪流</t>
  </si>
  <si>
    <t>微漂或轻轻收线引诱</t>
  </si>
  <si>
    <t>发酵玉米粒、面团</t>
  </si>
  <si>
    <t>泥底浅滩</t>
  </si>
  <si>
    <t>轻滑漂钓底，窝料聚鱼</t>
  </si>
  <si>
    <t>软虫、微型Crankbait</t>
  </si>
  <si>
    <t>中下层</t>
  </si>
  <si>
    <t>岩石坡、树桩区</t>
  </si>
  <si>
    <t>缓慢摇收、底部跳动</t>
  </si>
  <si>
    <t>小虫、超小旋转亮片</t>
  </si>
  <si>
    <t>中浅层</t>
  </si>
  <si>
    <t>岩堤、倒木区</t>
  </si>
  <si>
    <t>漂浮钓中层或小亮片慢收</t>
  </si>
  <si>
    <t>活鱼、小青蛙、腥味强饵</t>
  </si>
  <si>
    <t>深坑、桥墩附近</t>
  </si>
  <si>
    <t>夜钓滑漂钓底，大饵静守</t>
  </si>
  <si>
    <t>拟昆虫、小软鱼</t>
  </si>
  <si>
    <t>冷水溪流、急流小滩</t>
  </si>
  <si>
    <t>飞蝇顺流自然漂或小软虫</t>
  </si>
  <si>
    <t>浮钓/小软饵路亚</t>
  </si>
  <si>
    <t>小蚯蚓、小虫软饵</t>
  </si>
  <si>
    <t>浅水草区</t>
  </si>
  <si>
    <t>轻漂钓浮，微拖小虫</t>
  </si>
  <si>
    <t>腥味浓的虫饵、鸡肝</t>
  </si>
  <si>
    <t>深坑、倒树附近</t>
  </si>
  <si>
    <t>滑漂钓底，静守耐钓</t>
  </si>
  <si>
    <t>浮钓/小路亚</t>
  </si>
  <si>
    <t>蚯蚓、小Curly Tail软虫</t>
  </si>
  <si>
    <t>浅滩、堤坝旁</t>
  </si>
  <si>
    <t>漂钓悬浮或小软饵慢拖</t>
  </si>
  <si>
    <t>素食饵（面团、麦粒）</t>
  </si>
  <si>
    <t>浅滩软底区</t>
  </si>
  <si>
    <t>轻漂钓底，短抛短守</t>
  </si>
  <si>
    <t>小软鱼、夜光Jig</t>
  </si>
  <si>
    <t>深水缓坡</t>
  </si>
  <si>
    <t>Jig慢拖底或腥饵静守</t>
  </si>
  <si>
    <t>玉米粒、发酵麦子</t>
  </si>
  <si>
    <t>静水泥底浅区</t>
  </si>
  <si>
    <t>滑漂钓底，打窝聚鱼</t>
  </si>
  <si>
    <t>发酵玉米、小麦粒</t>
  </si>
  <si>
    <t>湖底软泥区</t>
  </si>
  <si>
    <t>滑漂钓底、守钓</t>
  </si>
  <si>
    <t>小型Spinner、小软虫</t>
  </si>
  <si>
    <t>水草边缘</t>
  </si>
  <si>
    <t>快速收线诱袭</t>
  </si>
  <si>
    <t>面饵、草食素饵</t>
  </si>
  <si>
    <t>浅流区域</t>
  </si>
  <si>
    <t>定点轻滑漂钓</t>
  </si>
  <si>
    <t>大号Swimbait、小鱼软饵</t>
  </si>
  <si>
    <t>水草区、障碍物</t>
  </si>
  <si>
    <t>快速拉拽爆发攻击</t>
  </si>
  <si>
    <t>浮钓/小亮片路亚</t>
  </si>
  <si>
    <t>小鱼苗、微型亮片</t>
  </si>
  <si>
    <t>进出水口</t>
  </si>
  <si>
    <t>顺流轻漂或小铁片抽动</t>
  </si>
  <si>
    <t>面团、玉米</t>
  </si>
  <si>
    <t>浅水区、草丛边</t>
  </si>
  <si>
    <t>小漂悬浮钓</t>
  </si>
  <si>
    <t>浮钓/小软虫</t>
  </si>
  <si>
    <t>蚯蚓、小虫软饵</t>
  </si>
  <si>
    <t>水草、码头旁</t>
  </si>
  <si>
    <t>浮漂轻钓或小虫慢拖</t>
  </si>
  <si>
    <t>浮钓/小Jig头路亚</t>
  </si>
  <si>
    <t>蚯蚓、白色微软饵</t>
  </si>
  <si>
    <t>树桩、桥墩附近</t>
  </si>
  <si>
    <t>小软虫拖底或悬浮钓</t>
  </si>
  <si>
    <t>浮钓/微型软虫</t>
  </si>
  <si>
    <t>小虾仁、虫饵</t>
  </si>
  <si>
    <t>水草边、浅滩</t>
  </si>
  <si>
    <t>漂钓中层或小软饵慢拖</t>
  </si>
  <si>
    <t>小虫、小面饵</t>
  </si>
  <si>
    <t>浅流碎石区</t>
  </si>
  <si>
    <t>轻漂短线钓</t>
  </si>
  <si>
    <t>小虫、小饵团</t>
  </si>
  <si>
    <t>浅水流域</t>
  </si>
  <si>
    <t>漂钓随流</t>
  </si>
  <si>
    <t>顶水蛙、软虫</t>
  </si>
  <si>
    <t>水草丛、浅滩</t>
  </si>
  <si>
    <t>顶水爆炸钓法</t>
  </si>
  <si>
    <t>小蚯蚓、浮游生物拟饵</t>
  </si>
  <si>
    <t>轻漂浅层钓</t>
  </si>
  <si>
    <t>小蚯蚓、迷你亮片</t>
  </si>
  <si>
    <t>水草区</t>
  </si>
  <si>
    <t>漂钓浮层或小亮片慢拖</t>
  </si>
  <si>
    <t>腥味虫饵、小虾肉</t>
  </si>
  <si>
    <t>湖底泥沙区</t>
  </si>
  <si>
    <t>滑漂底钓</t>
  </si>
  <si>
    <t>浮钓/小软虫路亚</t>
  </si>
  <si>
    <t>水草区、浅滩</t>
  </si>
  <si>
    <t>漂钓轻收或软虫微操控</t>
  </si>
  <si>
    <t>小虫、小颗粒饵</t>
  </si>
  <si>
    <t>碎石浅滩</t>
  </si>
  <si>
    <t>短漂轻守钓</t>
  </si>
  <si>
    <t>小面饵、麦粒</t>
  </si>
  <si>
    <t>河湾区</t>
  </si>
  <si>
    <t>轻漂顺流钓</t>
  </si>
  <si>
    <t>最最基础的鱼，素饵</t>
    <phoneticPr fontId="18" type="noConversion"/>
  </si>
  <si>
    <t>不再作为保底鱼，在倒木、桥墩出</t>
    <phoneticPr fontId="18" type="noConversion"/>
  </si>
  <si>
    <t>要求找结构，不再作为保底鱼，在水草区出</t>
    <phoneticPr fontId="18" type="noConversion"/>
  </si>
  <si>
    <t>路亚初始鱼</t>
    <phoneticPr fontId="18" type="noConversion"/>
  </si>
  <si>
    <t>路亚进阶</t>
    <phoneticPr fontId="18" type="noConversion"/>
  </si>
  <si>
    <t>换肉饵作钓，也是保底鱼，价格比美鳊稍高</t>
    <phoneticPr fontId="18" type="noConversion"/>
  </si>
  <si>
    <t>不适合放在1场</t>
    <phoneticPr fontId="18" type="noConversion"/>
  </si>
  <si>
    <t>保底鱼，设定为只吃肉（其实肉素双吃）</t>
    <phoneticPr fontId="18" type="noConversion"/>
  </si>
  <si>
    <t>素饵保底鱼</t>
    <phoneticPr fontId="18" type="noConversion"/>
  </si>
  <si>
    <t>本质上是石质底远一些。此版本使用一种结构体（例如石头）</t>
    <phoneticPr fontId="18" type="noConversion"/>
  </si>
  <si>
    <t>素饵找淤泥底。我们使用深浅交界地带，也即断层来作钓</t>
    <phoneticPr fontId="18" type="noConversion"/>
  </si>
  <si>
    <t>和水牛鱼成一对，价格稍贵</t>
    <phoneticPr fontId="18" type="noConversion"/>
  </si>
  <si>
    <t>饵种，素肉饵</t>
    <phoneticPr fontId="18" type="noConversion"/>
  </si>
  <si>
    <t>找结构，最常见的水草</t>
    <phoneticPr fontId="18" type="noConversion"/>
  </si>
  <si>
    <t>2阶竿直接通过</t>
    <phoneticPr fontId="18" type="noConversion"/>
  </si>
  <si>
    <t>作为美鳊的传奇鱼，纯靠运气；虽为传奇但不甚贵</t>
    <phoneticPr fontId="18" type="noConversion"/>
  </si>
  <si>
    <t>后面有夜钓的时候加入</t>
    <phoneticPr fontId="18" type="noConversion"/>
  </si>
  <si>
    <t>鸡肝 饵</t>
    <phoneticPr fontId="18" type="noConversion"/>
  </si>
  <si>
    <t>cat版本先做白天，后续可作为夜钓鱼种</t>
    <phoneticPr fontId="18" type="noConversion"/>
  </si>
  <si>
    <t>设定为沉木，桥墩不出crappie；</t>
    <phoneticPr fontId="18" type="noConversion"/>
  </si>
  <si>
    <t>路亚当中比初始鱼高半截</t>
    <phoneticPr fontId="18" type="noConversion"/>
  </si>
  <si>
    <t>路亚初始鱼。美国人也很少买，设定为低价值。用小亮片作钓，匀收</t>
    <phoneticPr fontId="18" type="noConversion"/>
  </si>
  <si>
    <t>左边为o4-mini-high给出，右边为fishing-gpts给出</t>
    <phoneticPr fontId="18" type="noConversion"/>
  </si>
  <si>
    <t>留待后续的夜钓玩法</t>
    <phoneticPr fontId="18" type="noConversion"/>
  </si>
  <si>
    <t>用鱼肉作钓，这个版本可以不配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</si>
</sst>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3" tint="0.499984740745262"/>
      <name val="等线"/>
      <family val="2"/>
      <charset val="134"/>
      <scheme val="minor"/>
    </font>
    <font>
      <sz val="11"/>
      <color theme="3" tint="0.499984740745262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0" borderId="10" xfId="0" applyBorder="1">
      <alignment vertical="center"/>
    </xf>
    <xf numFmtId="0" fontId="0" fillId="33" borderId="10" xfId="0" applyFill="1" applyBorder="1">
      <alignment vertical="center"/>
    </xf>
    <xf numFmtId="0" fontId="0" fillId="33" borderId="10" xfId="0" applyFill="1" applyBorder="1" applyAlignment="1">
      <alignment vertical="center" wrapText="1"/>
    </xf>
    <xf numFmtId="0" fontId="0" fillId="33" borderId="10" xfId="0" applyFill="1" applyBorder="1" applyAlignment="1">
      <alignment horizontal="right" vertical="center" wrapText="1"/>
    </xf>
    <xf numFmtId="0" fontId="0" fillId="0" borderId="10" xfId="0" applyBorder="1" applyAlignment="1">
      <alignment vertical="center" wrapText="1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20" fillId="0" borderId="0" xfId="0" applyFont="1">
      <alignment vertical="center"/>
    </xf>
    <xf numFmtId="0" fontId="0" fillId="33" borderId="0" xfId="0" applyFill="1" applyAlignment="1">
      <alignment horizontal="right" vertical="center"/>
    </xf>
    <xf numFmtId="0" fontId="0" fillId="33" borderId="0" xfId="0" applyFill="1" applyAlignment="1">
      <alignment horizontal="left" vertical="center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19" fillId="33" borderId="0" xfId="0" applyFont="1" applyFill="1" applyAlignment="1">
      <alignment horizontal="left" vertical="center"/>
    </xf>
    <xf numFmtId="0" fontId="24" fillId="0" borderId="0" xfId="0" applyFont="1" applyAlignment="1">
      <alignment horizontal="right" vertical="center"/>
    </xf>
    <xf numFmtId="0" fontId="24" fillId="0" borderId="0" xfId="0" applyFont="1" applyAlignment="1">
      <alignment horizontal="left" vertical="center"/>
    </xf>
    <xf numFmtId="0" fontId="24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10</xdr:col>
      <xdr:colOff>228601</xdr:colOff>
      <xdr:row>19</xdr:row>
      <xdr:rowOff>151604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08E364D-E676-6344-6FAA-779A05C9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7086600" cy="35901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21</xdr:col>
      <xdr:colOff>502962</xdr:colOff>
      <xdr:row>63</xdr:row>
      <xdr:rowOff>113313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E31A6D6-E5D6-3642-5EE5-5D5EE926C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19500"/>
          <a:ext cx="14904762" cy="78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22</xdr:col>
      <xdr:colOff>45733</xdr:colOff>
      <xdr:row>105</xdr:row>
      <xdr:rowOff>94311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2A1C952-308C-2D05-7F34-AC56B1E0D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1582400"/>
          <a:ext cx="15133333" cy="75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21</xdr:col>
      <xdr:colOff>36295</xdr:colOff>
      <xdr:row>144</xdr:row>
      <xdr:rowOff>141998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5F2FA6FA-95DC-D5C9-9681-68E0D3684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183350"/>
          <a:ext cx="14438095" cy="70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9BF09-011D-43C0-90D7-C0FA05548D75}">
  <dimension ref="A1:G63"/>
  <sheetViews>
    <sheetView tabSelected="1" topLeftCell="A16" workbookViewId="0">
      <selection activeCell="F31" sqref="F31"/>
    </sheetView>
  </sheetViews>
  <sheetFormatPr defaultRowHeight="14.25" x14ac:dyDescent="0.2"/>
  <cols>
    <col min="3" max="3" width="31.75" bestFit="1" customWidth="1"/>
    <col min="4" max="4" width="24.125" bestFit="1" customWidth="1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2">
        <v>9</v>
      </c>
      <c r="B2" s="2"/>
      <c r="C2" s="2" t="s">
        <v>7</v>
      </c>
      <c r="D2" s="2" t="s">
        <v>8</v>
      </c>
      <c r="E2" s="2">
        <v>100</v>
      </c>
      <c r="F2" s="2">
        <v>15000</v>
      </c>
      <c r="G2" s="2">
        <f t="shared" ref="G2:G32" si="0">E2*F2</f>
        <v>1500000</v>
      </c>
    </row>
    <row r="3" spans="1:7" x14ac:dyDescent="0.2">
      <c r="A3" s="2">
        <v>9</v>
      </c>
      <c r="B3" s="2"/>
      <c r="C3" s="2" t="s">
        <v>9</v>
      </c>
      <c r="D3" s="2" t="s">
        <v>10</v>
      </c>
      <c r="E3" s="2">
        <v>150</v>
      </c>
      <c r="F3" s="2">
        <v>300</v>
      </c>
      <c r="G3" s="2">
        <f t="shared" si="0"/>
        <v>45000</v>
      </c>
    </row>
    <row r="4" spans="1:7" x14ac:dyDescent="0.2">
      <c r="A4" s="2">
        <v>9</v>
      </c>
      <c r="B4" s="2"/>
      <c r="C4" s="2" t="s">
        <v>11</v>
      </c>
      <c r="D4" s="2" t="s">
        <v>12</v>
      </c>
      <c r="E4" s="2">
        <v>100</v>
      </c>
      <c r="F4" s="2">
        <v>15</v>
      </c>
      <c r="G4" s="2">
        <f t="shared" si="0"/>
        <v>1500</v>
      </c>
    </row>
    <row r="5" spans="1:7" x14ac:dyDescent="0.2">
      <c r="A5" s="2">
        <v>9</v>
      </c>
      <c r="B5" s="2"/>
      <c r="C5" s="2" t="s">
        <v>13</v>
      </c>
      <c r="D5" s="2" t="s">
        <v>14</v>
      </c>
      <c r="E5" s="2">
        <v>60</v>
      </c>
      <c r="F5" s="2">
        <v>10</v>
      </c>
      <c r="G5" s="2">
        <f t="shared" si="0"/>
        <v>600</v>
      </c>
    </row>
    <row r="6" spans="1:7" x14ac:dyDescent="0.2">
      <c r="A6" s="2">
        <v>8</v>
      </c>
      <c r="B6" s="2"/>
      <c r="C6" s="2" t="s">
        <v>15</v>
      </c>
      <c r="D6" s="2" t="s">
        <v>16</v>
      </c>
      <c r="E6" s="2">
        <v>80</v>
      </c>
      <c r="F6" s="2">
        <v>3.39</v>
      </c>
      <c r="G6" s="2">
        <f t="shared" si="0"/>
        <v>271.2</v>
      </c>
    </row>
    <row r="7" spans="1:7" x14ac:dyDescent="0.2">
      <c r="A7" s="2">
        <v>8</v>
      </c>
      <c r="B7" s="2"/>
      <c r="C7" s="2" t="s">
        <v>17</v>
      </c>
      <c r="D7" s="2" t="s">
        <v>18</v>
      </c>
      <c r="E7" s="2">
        <v>20</v>
      </c>
      <c r="F7" s="2">
        <v>6</v>
      </c>
      <c r="G7" s="2">
        <f t="shared" si="0"/>
        <v>120</v>
      </c>
    </row>
    <row r="8" spans="1:7" x14ac:dyDescent="0.2">
      <c r="A8" s="2">
        <v>8</v>
      </c>
      <c r="B8" s="2"/>
      <c r="C8" s="2" t="s">
        <v>19</v>
      </c>
      <c r="D8" s="2" t="s">
        <v>20</v>
      </c>
      <c r="E8" s="2">
        <v>25</v>
      </c>
      <c r="F8" s="2">
        <v>4</v>
      </c>
      <c r="G8" s="2">
        <f t="shared" si="0"/>
        <v>100</v>
      </c>
    </row>
    <row r="9" spans="1:7" x14ac:dyDescent="0.2">
      <c r="A9" s="2">
        <v>7</v>
      </c>
      <c r="B9" s="2"/>
      <c r="C9" s="2" t="s">
        <v>21</v>
      </c>
      <c r="D9" s="2" t="s">
        <v>22</v>
      </c>
      <c r="E9" s="2">
        <v>5</v>
      </c>
      <c r="F9" s="2">
        <v>17.95</v>
      </c>
      <c r="G9" s="2">
        <f t="shared" si="0"/>
        <v>89.75</v>
      </c>
    </row>
    <row r="10" spans="1:7" x14ac:dyDescent="0.2">
      <c r="A10" s="2">
        <v>7</v>
      </c>
      <c r="B10" s="2"/>
      <c r="C10" s="2" t="s">
        <v>23</v>
      </c>
      <c r="D10" s="2" t="s">
        <v>24</v>
      </c>
      <c r="E10" s="2">
        <v>4</v>
      </c>
      <c r="F10" s="2">
        <v>17.95</v>
      </c>
      <c r="G10" s="2">
        <f t="shared" si="0"/>
        <v>71.8</v>
      </c>
    </row>
    <row r="11" spans="1:7" x14ac:dyDescent="0.2">
      <c r="A11" s="2">
        <v>7</v>
      </c>
      <c r="B11" s="2"/>
      <c r="C11" s="2" t="s">
        <v>120</v>
      </c>
      <c r="D11" s="2" t="s">
        <v>121</v>
      </c>
      <c r="E11" s="6">
        <v>6</v>
      </c>
      <c r="F11" s="6">
        <v>10.99</v>
      </c>
      <c r="G11" s="2">
        <f t="shared" si="0"/>
        <v>65.94</v>
      </c>
    </row>
    <row r="12" spans="1:7" x14ac:dyDescent="0.2">
      <c r="A12" s="2">
        <v>6</v>
      </c>
      <c r="B12" s="2"/>
      <c r="C12" s="2" t="s">
        <v>43</v>
      </c>
      <c r="D12" s="2" t="s">
        <v>44</v>
      </c>
      <c r="E12" s="2">
        <v>4</v>
      </c>
      <c r="F12" s="2">
        <v>15</v>
      </c>
      <c r="G12" s="2">
        <f t="shared" si="0"/>
        <v>60</v>
      </c>
    </row>
    <row r="13" spans="1:7" x14ac:dyDescent="0.2">
      <c r="A13" s="2">
        <v>6</v>
      </c>
      <c r="B13" s="2"/>
      <c r="C13" s="2" t="s">
        <v>25</v>
      </c>
      <c r="D13" s="2" t="s">
        <v>26</v>
      </c>
      <c r="E13" s="2">
        <v>1</v>
      </c>
      <c r="F13" s="2">
        <v>50</v>
      </c>
      <c r="G13" s="2">
        <f t="shared" si="0"/>
        <v>50</v>
      </c>
    </row>
    <row r="14" spans="1:7" x14ac:dyDescent="0.2">
      <c r="A14" s="2">
        <v>6</v>
      </c>
      <c r="B14" s="2"/>
      <c r="C14" s="2" t="s">
        <v>27</v>
      </c>
      <c r="D14" s="2" t="s">
        <v>28</v>
      </c>
      <c r="E14" s="2">
        <v>4</v>
      </c>
      <c r="F14" s="2">
        <v>12</v>
      </c>
      <c r="G14" s="2">
        <f t="shared" si="0"/>
        <v>48</v>
      </c>
    </row>
    <row r="15" spans="1:7" s="1" customFormat="1" x14ac:dyDescent="0.2">
      <c r="A15" s="3">
        <v>5</v>
      </c>
      <c r="B15" s="3"/>
      <c r="C15" s="3" t="s">
        <v>29</v>
      </c>
      <c r="D15" s="3" t="s">
        <v>30</v>
      </c>
      <c r="E15" s="3">
        <v>2.2000000000000002</v>
      </c>
      <c r="F15" s="3">
        <v>18</v>
      </c>
      <c r="G15" s="3">
        <f t="shared" si="0"/>
        <v>39.6</v>
      </c>
    </row>
    <row r="16" spans="1:7" s="1" customFormat="1" x14ac:dyDescent="0.2">
      <c r="A16" s="3">
        <v>5</v>
      </c>
      <c r="B16" s="3"/>
      <c r="C16" s="3" t="s">
        <v>31</v>
      </c>
      <c r="D16" s="3" t="s">
        <v>32</v>
      </c>
      <c r="E16" s="3">
        <v>2</v>
      </c>
      <c r="F16" s="3">
        <v>17.95</v>
      </c>
      <c r="G16" s="3">
        <f t="shared" si="0"/>
        <v>35.9</v>
      </c>
    </row>
    <row r="17" spans="1:7" s="1" customFormat="1" x14ac:dyDescent="0.2">
      <c r="A17" s="3">
        <v>5</v>
      </c>
      <c r="B17" s="3"/>
      <c r="C17" s="3" t="s">
        <v>33</v>
      </c>
      <c r="D17" s="3" t="s">
        <v>34</v>
      </c>
      <c r="E17" s="3">
        <v>2</v>
      </c>
      <c r="F17" s="3">
        <v>17.95</v>
      </c>
      <c r="G17" s="3">
        <f t="shared" si="0"/>
        <v>35.9</v>
      </c>
    </row>
    <row r="18" spans="1:7" s="1" customFormat="1" x14ac:dyDescent="0.2">
      <c r="A18" s="3">
        <v>5</v>
      </c>
      <c r="B18" s="3"/>
      <c r="C18" s="3" t="s">
        <v>35</v>
      </c>
      <c r="D18" s="3" t="s">
        <v>36</v>
      </c>
      <c r="E18" s="3">
        <v>5</v>
      </c>
      <c r="F18" s="3">
        <v>6</v>
      </c>
      <c r="G18" s="3">
        <f t="shared" si="0"/>
        <v>30</v>
      </c>
    </row>
    <row r="19" spans="1:7" s="1" customFormat="1" x14ac:dyDescent="0.2">
      <c r="A19" s="3">
        <v>5</v>
      </c>
      <c r="B19" s="3"/>
      <c r="C19" s="3" t="s">
        <v>37</v>
      </c>
      <c r="D19" s="3" t="s">
        <v>38</v>
      </c>
      <c r="E19" s="3">
        <v>5</v>
      </c>
      <c r="F19" s="3">
        <v>6</v>
      </c>
      <c r="G19" s="3">
        <f t="shared" si="0"/>
        <v>30</v>
      </c>
    </row>
    <row r="20" spans="1:7" s="1" customFormat="1" x14ac:dyDescent="0.2">
      <c r="A20" s="3">
        <v>5</v>
      </c>
      <c r="B20" s="3"/>
      <c r="C20" s="3" t="s">
        <v>39</v>
      </c>
      <c r="D20" s="3" t="s">
        <v>40</v>
      </c>
      <c r="E20" s="3">
        <v>3</v>
      </c>
      <c r="F20" s="3">
        <v>8</v>
      </c>
      <c r="G20" s="3">
        <f t="shared" si="0"/>
        <v>24</v>
      </c>
    </row>
    <row r="21" spans="1:7" s="1" customFormat="1" x14ac:dyDescent="0.2">
      <c r="A21" s="3">
        <v>5</v>
      </c>
      <c r="B21" s="3"/>
      <c r="C21" s="3" t="s">
        <v>41</v>
      </c>
      <c r="D21" s="3" t="s">
        <v>42</v>
      </c>
      <c r="E21" s="3">
        <v>15</v>
      </c>
      <c r="F21" s="3">
        <v>1.5</v>
      </c>
      <c r="G21" s="3">
        <f t="shared" si="0"/>
        <v>22.5</v>
      </c>
    </row>
    <row r="22" spans="1:7" s="1" customFormat="1" x14ac:dyDescent="0.2">
      <c r="A22" s="3">
        <v>4</v>
      </c>
      <c r="B22" s="3"/>
      <c r="C22" s="3" t="s">
        <v>45</v>
      </c>
      <c r="D22" s="3" t="s">
        <v>46</v>
      </c>
      <c r="E22" s="3">
        <v>2</v>
      </c>
      <c r="F22" s="3">
        <v>10</v>
      </c>
      <c r="G22" s="3">
        <f t="shared" si="0"/>
        <v>20</v>
      </c>
    </row>
    <row r="23" spans="1:7" s="1" customFormat="1" x14ac:dyDescent="0.2">
      <c r="A23" s="3">
        <v>4</v>
      </c>
      <c r="B23" s="3"/>
      <c r="C23" s="3" t="s">
        <v>47</v>
      </c>
      <c r="D23" s="3" t="s">
        <v>48</v>
      </c>
      <c r="E23" s="3">
        <v>3</v>
      </c>
      <c r="F23" s="3">
        <v>6.54</v>
      </c>
      <c r="G23" s="3">
        <f t="shared" si="0"/>
        <v>19.62</v>
      </c>
    </row>
    <row r="24" spans="1:7" s="1" customFormat="1" x14ac:dyDescent="0.2">
      <c r="A24" s="3">
        <v>4</v>
      </c>
      <c r="B24" s="3"/>
      <c r="C24" s="3" t="s">
        <v>51</v>
      </c>
      <c r="D24" s="3" t="s">
        <v>52</v>
      </c>
      <c r="E24" s="3">
        <v>4</v>
      </c>
      <c r="F24" s="3">
        <v>4</v>
      </c>
      <c r="G24" s="3">
        <f t="shared" si="0"/>
        <v>16</v>
      </c>
    </row>
    <row r="25" spans="1:7" s="1" customFormat="1" x14ac:dyDescent="0.2">
      <c r="A25" s="3">
        <v>4</v>
      </c>
      <c r="B25" s="3"/>
      <c r="C25" s="3" t="s">
        <v>53</v>
      </c>
      <c r="D25" s="3" t="s">
        <v>54</v>
      </c>
      <c r="E25" s="3">
        <v>3</v>
      </c>
      <c r="F25" s="3">
        <v>5</v>
      </c>
      <c r="G25" s="3">
        <f t="shared" si="0"/>
        <v>15</v>
      </c>
    </row>
    <row r="26" spans="1:7" s="1" customFormat="1" x14ac:dyDescent="0.2">
      <c r="A26" s="3">
        <v>4</v>
      </c>
      <c r="B26" s="3"/>
      <c r="C26" s="3" t="s">
        <v>57</v>
      </c>
      <c r="D26" s="3" t="s">
        <v>58</v>
      </c>
      <c r="E26" s="3">
        <v>2</v>
      </c>
      <c r="F26" s="3">
        <v>7.25</v>
      </c>
      <c r="G26" s="3">
        <f t="shared" si="0"/>
        <v>14.5</v>
      </c>
    </row>
    <row r="27" spans="1:7" s="1" customFormat="1" x14ac:dyDescent="0.2">
      <c r="A27" s="3">
        <v>4</v>
      </c>
      <c r="B27" s="3"/>
      <c r="C27" s="3" t="s">
        <v>59</v>
      </c>
      <c r="D27" s="3" t="s">
        <v>60</v>
      </c>
      <c r="E27" s="3">
        <v>2</v>
      </c>
      <c r="F27" s="3">
        <v>6.54</v>
      </c>
      <c r="G27" s="3">
        <f t="shared" si="0"/>
        <v>13.08</v>
      </c>
    </row>
    <row r="28" spans="1:7" s="1" customFormat="1" x14ac:dyDescent="0.2">
      <c r="A28" s="3">
        <v>3</v>
      </c>
      <c r="B28" s="3"/>
      <c r="C28" s="3" t="s">
        <v>61</v>
      </c>
      <c r="D28" s="3" t="s">
        <v>62</v>
      </c>
      <c r="E28" s="3">
        <v>0.2</v>
      </c>
      <c r="F28" s="3">
        <v>60</v>
      </c>
      <c r="G28" s="3">
        <f t="shared" si="0"/>
        <v>12</v>
      </c>
    </row>
    <row r="29" spans="1:7" s="1" customFormat="1" x14ac:dyDescent="0.2">
      <c r="A29" s="3">
        <v>3</v>
      </c>
      <c r="B29" s="3"/>
      <c r="C29" s="3" t="s">
        <v>129</v>
      </c>
      <c r="D29" s="3" t="s">
        <v>112</v>
      </c>
      <c r="E29" s="4">
        <v>1.7</v>
      </c>
      <c r="F29" s="4">
        <v>6.9</v>
      </c>
      <c r="G29" s="3">
        <f t="shared" si="0"/>
        <v>11.73</v>
      </c>
    </row>
    <row r="30" spans="1:7" s="1" customFormat="1" x14ac:dyDescent="0.2">
      <c r="A30" s="3">
        <v>3</v>
      </c>
      <c r="B30" s="3"/>
      <c r="C30" s="3" t="s">
        <v>63</v>
      </c>
      <c r="D30" s="3" t="s">
        <v>64</v>
      </c>
      <c r="E30" s="3">
        <v>0.5</v>
      </c>
      <c r="F30" s="3">
        <v>22.99</v>
      </c>
      <c r="G30" s="3">
        <f t="shared" si="0"/>
        <v>11.494999999999999</v>
      </c>
    </row>
    <row r="31" spans="1:7" s="1" customFormat="1" x14ac:dyDescent="0.2">
      <c r="A31" s="3">
        <v>3</v>
      </c>
      <c r="B31" s="3"/>
      <c r="C31" s="3" t="s">
        <v>65</v>
      </c>
      <c r="D31" s="3" t="s">
        <v>66</v>
      </c>
      <c r="E31" s="3">
        <v>2</v>
      </c>
      <c r="F31" s="3">
        <v>5</v>
      </c>
      <c r="G31" s="3">
        <f t="shared" si="0"/>
        <v>10</v>
      </c>
    </row>
    <row r="32" spans="1:7" s="1" customFormat="1" x14ac:dyDescent="0.2">
      <c r="A32" s="3">
        <v>3</v>
      </c>
      <c r="B32" s="3"/>
      <c r="C32" s="3" t="s">
        <v>67</v>
      </c>
      <c r="D32" s="3" t="s">
        <v>68</v>
      </c>
      <c r="E32" s="3">
        <v>3</v>
      </c>
      <c r="F32" s="3">
        <v>3.09</v>
      </c>
      <c r="G32" s="3">
        <f t="shared" si="0"/>
        <v>9.27</v>
      </c>
    </row>
    <row r="33" spans="1:7" s="1" customFormat="1" x14ac:dyDescent="0.2">
      <c r="A33" s="3">
        <v>3</v>
      </c>
      <c r="B33" s="3"/>
      <c r="C33" s="3" t="s">
        <v>130</v>
      </c>
      <c r="D33" s="3" t="s">
        <v>111</v>
      </c>
      <c r="E33" s="5">
        <v>2.5</v>
      </c>
      <c r="F33" s="5">
        <v>3.29</v>
      </c>
      <c r="G33" s="3">
        <f t="shared" ref="G33:G52" si="1">E33*F33</f>
        <v>8.2249999999999996</v>
      </c>
    </row>
    <row r="34" spans="1:7" s="1" customFormat="1" x14ac:dyDescent="0.2">
      <c r="A34" s="3">
        <v>3</v>
      </c>
      <c r="B34" s="3"/>
      <c r="C34" s="3" t="s">
        <v>69</v>
      </c>
      <c r="D34" s="3" t="s">
        <v>70</v>
      </c>
      <c r="E34" s="3">
        <v>8</v>
      </c>
      <c r="F34" s="3">
        <v>1</v>
      </c>
      <c r="G34" s="3">
        <f t="shared" si="1"/>
        <v>8</v>
      </c>
    </row>
    <row r="35" spans="1:7" s="1" customFormat="1" x14ac:dyDescent="0.2">
      <c r="A35" s="3">
        <v>3</v>
      </c>
      <c r="B35" s="3"/>
      <c r="C35" s="3" t="s">
        <v>71</v>
      </c>
      <c r="D35" s="3" t="s">
        <v>72</v>
      </c>
      <c r="E35" s="3">
        <v>2</v>
      </c>
      <c r="F35" s="3">
        <v>4</v>
      </c>
      <c r="G35" s="3">
        <f t="shared" si="1"/>
        <v>8</v>
      </c>
    </row>
    <row r="36" spans="1:7" s="1" customFormat="1" x14ac:dyDescent="0.2">
      <c r="A36" s="3">
        <v>2</v>
      </c>
      <c r="B36" s="3"/>
      <c r="C36" s="3" t="s">
        <v>75</v>
      </c>
      <c r="D36" s="3" t="s">
        <v>76</v>
      </c>
      <c r="E36" s="3">
        <v>2</v>
      </c>
      <c r="F36" s="3">
        <v>3</v>
      </c>
      <c r="G36" s="3">
        <f t="shared" si="1"/>
        <v>6</v>
      </c>
    </row>
    <row r="37" spans="1:7" s="1" customFormat="1" x14ac:dyDescent="0.2">
      <c r="A37" s="3">
        <v>2</v>
      </c>
      <c r="B37" s="3"/>
      <c r="C37" s="3" t="s">
        <v>77</v>
      </c>
      <c r="D37" s="3" t="s">
        <v>78</v>
      </c>
      <c r="E37" s="3">
        <v>2</v>
      </c>
      <c r="F37" s="3">
        <v>3</v>
      </c>
      <c r="G37" s="3">
        <f t="shared" si="1"/>
        <v>6</v>
      </c>
    </row>
    <row r="38" spans="1:7" s="1" customFormat="1" x14ac:dyDescent="0.2">
      <c r="A38" s="3">
        <v>2</v>
      </c>
      <c r="B38" s="3"/>
      <c r="C38" s="3" t="s">
        <v>79</v>
      </c>
      <c r="D38" s="3" t="s">
        <v>80</v>
      </c>
      <c r="E38" s="3">
        <v>5.5</v>
      </c>
      <c r="F38" s="3">
        <v>1</v>
      </c>
      <c r="G38" s="3">
        <f t="shared" si="1"/>
        <v>5.5</v>
      </c>
    </row>
    <row r="39" spans="1:7" s="1" customFormat="1" x14ac:dyDescent="0.2">
      <c r="A39" s="3">
        <v>2</v>
      </c>
      <c r="B39" s="3"/>
      <c r="C39" s="3" t="s">
        <v>128</v>
      </c>
      <c r="D39" s="3" t="s">
        <v>115</v>
      </c>
      <c r="E39" s="4">
        <v>0.25</v>
      </c>
      <c r="F39" s="4">
        <v>16</v>
      </c>
      <c r="G39" s="3">
        <f t="shared" si="1"/>
        <v>4</v>
      </c>
    </row>
    <row r="40" spans="1:7" s="1" customFormat="1" x14ac:dyDescent="0.2">
      <c r="A40" s="3">
        <v>2</v>
      </c>
      <c r="B40" s="3"/>
      <c r="C40" s="3" t="s">
        <v>73</v>
      </c>
      <c r="D40" s="3" t="s">
        <v>74</v>
      </c>
      <c r="E40" s="3">
        <v>0.5</v>
      </c>
      <c r="F40" s="3">
        <v>6.99</v>
      </c>
      <c r="G40" s="3">
        <f t="shared" si="1"/>
        <v>3.4950000000000001</v>
      </c>
    </row>
    <row r="41" spans="1:7" s="1" customFormat="1" x14ac:dyDescent="0.2">
      <c r="A41" s="3">
        <v>2</v>
      </c>
      <c r="B41" s="3"/>
      <c r="C41" s="3" t="s">
        <v>55</v>
      </c>
      <c r="D41" s="3" t="s">
        <v>56</v>
      </c>
      <c r="E41" s="3">
        <v>0.7</v>
      </c>
      <c r="F41" s="3">
        <v>5</v>
      </c>
      <c r="G41" s="3">
        <f>E41*F41</f>
        <v>3.5</v>
      </c>
    </row>
    <row r="42" spans="1:7" s="1" customFormat="1" x14ac:dyDescent="0.2">
      <c r="A42" s="3">
        <v>2</v>
      </c>
      <c r="B42" s="3"/>
      <c r="C42" s="3" t="s">
        <v>49</v>
      </c>
      <c r="D42" s="3" t="s">
        <v>50</v>
      </c>
      <c r="E42" s="3">
        <v>0.6</v>
      </c>
      <c r="F42" s="3">
        <v>5</v>
      </c>
      <c r="G42" s="3">
        <f t="shared" si="1"/>
        <v>3</v>
      </c>
    </row>
    <row r="43" spans="1:7" s="1" customFormat="1" x14ac:dyDescent="0.2">
      <c r="A43" s="3">
        <v>2</v>
      </c>
      <c r="B43" s="3"/>
      <c r="C43" s="3" t="s">
        <v>81</v>
      </c>
      <c r="D43" s="3" t="s">
        <v>82</v>
      </c>
      <c r="E43" s="3">
        <v>0.5</v>
      </c>
      <c r="F43" s="3">
        <v>3.79</v>
      </c>
      <c r="G43" s="3">
        <f t="shared" si="1"/>
        <v>1.895</v>
      </c>
    </row>
    <row r="44" spans="1:7" s="1" customFormat="1" x14ac:dyDescent="0.2">
      <c r="A44" s="3">
        <v>2</v>
      </c>
      <c r="B44" s="3"/>
      <c r="C44" s="3" t="s">
        <v>83</v>
      </c>
      <c r="D44" s="3" t="s">
        <v>84</v>
      </c>
      <c r="E44" s="3">
        <v>0.1</v>
      </c>
      <c r="F44" s="3">
        <v>15</v>
      </c>
      <c r="G44" s="3">
        <f t="shared" si="1"/>
        <v>1.5</v>
      </c>
    </row>
    <row r="45" spans="1:7" s="1" customFormat="1" x14ac:dyDescent="0.2">
      <c r="A45" s="3">
        <v>1</v>
      </c>
      <c r="B45" s="3"/>
      <c r="C45" s="3" t="s">
        <v>95</v>
      </c>
      <c r="D45" s="3" t="s">
        <v>96</v>
      </c>
      <c r="E45" s="4">
        <v>0.02</v>
      </c>
      <c r="F45" s="4">
        <v>62.5</v>
      </c>
      <c r="G45" s="3">
        <f t="shared" si="1"/>
        <v>1.25</v>
      </c>
    </row>
    <row r="46" spans="1:7" s="1" customFormat="1" x14ac:dyDescent="0.2">
      <c r="A46" s="3">
        <v>1</v>
      </c>
      <c r="B46" s="3"/>
      <c r="C46" s="3" t="s">
        <v>97</v>
      </c>
      <c r="D46" s="3" t="s">
        <v>98</v>
      </c>
      <c r="E46" s="4">
        <v>3</v>
      </c>
      <c r="F46" s="4">
        <v>10</v>
      </c>
      <c r="G46" s="3">
        <f t="shared" si="1"/>
        <v>30</v>
      </c>
    </row>
    <row r="47" spans="1:7" s="1" customFormat="1" x14ac:dyDescent="0.2">
      <c r="A47" s="3">
        <v>1</v>
      </c>
      <c r="B47" s="3"/>
      <c r="C47" s="3" t="s">
        <v>99</v>
      </c>
      <c r="D47" s="3" t="s">
        <v>100</v>
      </c>
      <c r="E47" s="4">
        <v>0.5</v>
      </c>
      <c r="F47" s="4">
        <v>0.39</v>
      </c>
      <c r="G47" s="3">
        <f t="shared" si="1"/>
        <v>0.19500000000000001</v>
      </c>
    </row>
    <row r="48" spans="1:7" s="1" customFormat="1" x14ac:dyDescent="0.2">
      <c r="A48" s="3">
        <v>1</v>
      </c>
      <c r="B48" s="3"/>
      <c r="C48" s="3" t="s">
        <v>85</v>
      </c>
      <c r="D48" s="3" t="s">
        <v>86</v>
      </c>
      <c r="E48" s="3">
        <v>0.5</v>
      </c>
      <c r="F48" s="3">
        <v>0.2</v>
      </c>
      <c r="G48" s="3">
        <f t="shared" si="1"/>
        <v>0.1</v>
      </c>
    </row>
    <row r="49" spans="1:7" s="1" customFormat="1" x14ac:dyDescent="0.2">
      <c r="A49" s="3">
        <v>1</v>
      </c>
      <c r="B49" s="3"/>
      <c r="C49" s="3" t="s">
        <v>87</v>
      </c>
      <c r="D49" s="3" t="s">
        <v>88</v>
      </c>
      <c r="E49" s="3">
        <v>0.5</v>
      </c>
      <c r="F49" s="3">
        <v>0.2</v>
      </c>
      <c r="G49" s="3">
        <f t="shared" si="1"/>
        <v>0.1</v>
      </c>
    </row>
    <row r="50" spans="1:7" s="1" customFormat="1" x14ac:dyDescent="0.2">
      <c r="A50" s="3">
        <v>1</v>
      </c>
      <c r="B50" s="3"/>
      <c r="C50" s="3" t="s">
        <v>89</v>
      </c>
      <c r="D50" s="3" t="s">
        <v>90</v>
      </c>
      <c r="E50" s="3">
        <v>0.5</v>
      </c>
      <c r="F50" s="3">
        <v>0.2</v>
      </c>
      <c r="G50" s="3">
        <f t="shared" si="1"/>
        <v>0.1</v>
      </c>
    </row>
    <row r="51" spans="1:7" s="1" customFormat="1" x14ac:dyDescent="0.2">
      <c r="A51" s="3">
        <v>1</v>
      </c>
      <c r="B51" s="3"/>
      <c r="C51" s="3" t="s">
        <v>91</v>
      </c>
      <c r="D51" s="3" t="s">
        <v>92</v>
      </c>
      <c r="E51" s="3">
        <v>0.2</v>
      </c>
      <c r="F51" s="3">
        <v>0.2</v>
      </c>
      <c r="G51" s="3">
        <f t="shared" si="1"/>
        <v>4.0000000000000008E-2</v>
      </c>
    </row>
    <row r="52" spans="1:7" s="1" customFormat="1" x14ac:dyDescent="0.2">
      <c r="A52" s="3">
        <v>1</v>
      </c>
      <c r="B52" s="3"/>
      <c r="C52" s="3" t="s">
        <v>93</v>
      </c>
      <c r="D52" s="3" t="s">
        <v>94</v>
      </c>
      <c r="E52" s="3">
        <v>0.2</v>
      </c>
      <c r="F52" s="3">
        <v>0.2</v>
      </c>
      <c r="G52" s="3">
        <f t="shared" si="1"/>
        <v>4.0000000000000008E-2</v>
      </c>
    </row>
    <row r="53" spans="1:7" x14ac:dyDescent="0.2">
      <c r="A53" s="2"/>
      <c r="B53" s="2"/>
      <c r="C53" s="2" t="s">
        <v>101</v>
      </c>
      <c r="D53" s="2" t="s">
        <v>102</v>
      </c>
      <c r="E53" s="2"/>
      <c r="F53" s="2"/>
      <c r="G53" s="2"/>
    </row>
    <row r="54" spans="1:7" x14ac:dyDescent="0.2">
      <c r="A54" s="2"/>
      <c r="B54" s="2"/>
      <c r="C54" s="2" t="s">
        <v>103</v>
      </c>
      <c r="D54" s="2" t="s">
        <v>104</v>
      </c>
      <c r="E54" s="2"/>
      <c r="F54" s="2"/>
      <c r="G54" s="2"/>
    </row>
    <row r="55" spans="1:7" x14ac:dyDescent="0.2">
      <c r="A55" s="2"/>
      <c r="B55" s="2"/>
      <c r="C55" s="2" t="s">
        <v>105</v>
      </c>
      <c r="D55" s="2" t="s">
        <v>106</v>
      </c>
      <c r="E55" s="2"/>
      <c r="F55" s="2"/>
      <c r="G55" s="2"/>
    </row>
    <row r="56" spans="1:7" x14ac:dyDescent="0.2">
      <c r="A56" s="2"/>
      <c r="B56" s="2"/>
      <c r="C56" s="2" t="s">
        <v>107</v>
      </c>
      <c r="D56" s="2" t="s">
        <v>108</v>
      </c>
      <c r="E56" s="2"/>
      <c r="F56" s="2"/>
      <c r="G56" s="2"/>
    </row>
    <row r="57" spans="1:7" x14ac:dyDescent="0.2">
      <c r="A57" s="2"/>
      <c r="B57" s="2"/>
      <c r="C57" s="2" t="s">
        <v>109</v>
      </c>
      <c r="D57" s="2" t="s">
        <v>110</v>
      </c>
      <c r="E57" s="2"/>
      <c r="F57" s="2"/>
      <c r="G57" s="2"/>
    </row>
    <row r="58" spans="1:7" x14ac:dyDescent="0.2">
      <c r="A58" s="2"/>
      <c r="B58" s="2"/>
      <c r="C58" s="2" t="s">
        <v>113</v>
      </c>
      <c r="D58" s="2" t="s">
        <v>114</v>
      </c>
      <c r="E58" s="2"/>
      <c r="F58" s="2"/>
      <c r="G58" s="2"/>
    </row>
    <row r="59" spans="1:7" x14ac:dyDescent="0.2">
      <c r="A59" s="2"/>
      <c r="B59" s="2"/>
      <c r="C59" s="2" t="s">
        <v>116</v>
      </c>
      <c r="D59" s="2" t="s">
        <v>117</v>
      </c>
      <c r="E59" s="2"/>
      <c r="F59" s="2"/>
      <c r="G59" s="2"/>
    </row>
    <row r="60" spans="1:7" x14ac:dyDescent="0.2">
      <c r="A60" s="2"/>
      <c r="B60" s="2"/>
      <c r="C60" s="2" t="s">
        <v>118</v>
      </c>
      <c r="D60" s="2" t="s">
        <v>119</v>
      </c>
      <c r="E60" s="2"/>
      <c r="F60" s="2"/>
      <c r="G60" s="2"/>
    </row>
    <row r="61" spans="1:7" x14ac:dyDescent="0.2">
      <c r="A61" s="2"/>
      <c r="B61" s="2"/>
      <c r="C61" s="2" t="s">
        <v>122</v>
      </c>
      <c r="D61" s="2" t="s">
        <v>123</v>
      </c>
      <c r="E61" s="2"/>
      <c r="F61" s="2"/>
      <c r="G61" s="2"/>
    </row>
    <row r="62" spans="1:7" x14ac:dyDescent="0.2">
      <c r="A62" s="2"/>
      <c r="B62" s="2"/>
      <c r="C62" s="2" t="s">
        <v>124</v>
      </c>
      <c r="D62" s="2" t="s">
        <v>125</v>
      </c>
      <c r="E62" s="2"/>
      <c r="F62" s="2"/>
      <c r="G62" s="2"/>
    </row>
    <row r="63" spans="1:7" x14ac:dyDescent="0.2">
      <c r="A63" s="2"/>
      <c r="B63" s="2"/>
      <c r="C63" s="2" t="s">
        <v>126</v>
      </c>
      <c r="D63" s="2" t="s">
        <v>127</v>
      </c>
      <c r="E63" s="2"/>
      <c r="F63" s="2"/>
      <c r="G63" s="2"/>
    </row>
  </sheetData>
  <sortState xmlns:xlrd2="http://schemas.microsoft.com/office/spreadsheetml/2017/richdata2" ref="A2:G68">
    <sortCondition descending="1" ref="G2:G68"/>
  </sortState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30359-EE9B-4EAC-A836-BA5F17269BE6}">
  <dimension ref="A1"/>
  <sheetViews>
    <sheetView topLeftCell="A79" workbookViewId="0">
      <selection activeCell="X95" sqref="X95"/>
    </sheetView>
  </sheetViews>
  <sheetFormatPr defaultRowHeight="14.25" x14ac:dyDescent="0.2"/>
  <sheetData/>
  <phoneticPr fontId="1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4777-582E-4A63-8DCD-A069D9928D47}">
  <dimension ref="A1:T39"/>
  <sheetViews>
    <sheetView topLeftCell="D1" zoomScale="130" zoomScaleNormal="130" workbookViewId="0">
      <selection activeCell="Q7" sqref="Q7"/>
    </sheetView>
  </sheetViews>
  <sheetFormatPr defaultRowHeight="14.25" x14ac:dyDescent="0.2"/>
  <cols>
    <col min="1" max="1" width="5.25" bestFit="1" customWidth="1"/>
    <col min="2" max="2" width="4.875" customWidth="1"/>
    <col min="3" max="3" width="14" customWidth="1"/>
    <col min="4" max="4" width="23.25" bestFit="1" customWidth="1"/>
    <col min="5" max="5" width="28.875" bestFit="1" customWidth="1"/>
    <col min="6" max="6" width="29.375" bestFit="1" customWidth="1"/>
    <col min="7" max="7" width="12.125" bestFit="1" customWidth="1"/>
    <col min="8" max="8" width="21.375" bestFit="1" customWidth="1"/>
    <col min="9" max="9" width="20.875" customWidth="1"/>
    <col min="10" max="10" width="26.625" customWidth="1"/>
    <col min="11" max="11" width="0" hidden="1" customWidth="1"/>
    <col min="12" max="12" width="3" hidden="1" customWidth="1"/>
    <col min="13" max="13" width="14.25" customWidth="1"/>
    <col min="14" max="15" width="19" customWidth="1"/>
    <col min="16" max="16" width="17.375" customWidth="1"/>
    <col min="17" max="17" width="29.375" bestFit="1" customWidth="1"/>
    <col min="18" max="18" width="12.125" bestFit="1" customWidth="1"/>
    <col min="19" max="19" width="21.375" bestFit="1" customWidth="1"/>
  </cols>
  <sheetData>
    <row r="1" spans="1:20" x14ac:dyDescent="0.2">
      <c r="A1" s="7" t="s">
        <v>0</v>
      </c>
      <c r="B1" s="8" t="s">
        <v>131</v>
      </c>
      <c r="C1" s="8" t="s">
        <v>132</v>
      </c>
      <c r="D1" s="8" t="s">
        <v>133</v>
      </c>
      <c r="E1" s="8" t="s">
        <v>134</v>
      </c>
      <c r="F1" s="8" t="s">
        <v>135</v>
      </c>
      <c r="G1" s="8" t="s">
        <v>136</v>
      </c>
      <c r="H1" s="8" t="s">
        <v>137</v>
      </c>
      <c r="I1" s="8" t="s">
        <v>138</v>
      </c>
      <c r="J1" s="22" t="s">
        <v>416</v>
      </c>
      <c r="K1" s="8" t="s">
        <v>0</v>
      </c>
      <c r="L1" s="8" t="s">
        <v>131</v>
      </c>
      <c r="M1" s="8"/>
      <c r="N1" s="8" t="s">
        <v>132</v>
      </c>
      <c r="O1" s="8" t="s">
        <v>133</v>
      </c>
      <c r="P1" s="8" t="s">
        <v>134</v>
      </c>
      <c r="Q1" s="8" t="s">
        <v>135</v>
      </c>
      <c r="R1" s="8" t="s">
        <v>136</v>
      </c>
      <c r="S1" s="8" t="s">
        <v>137</v>
      </c>
      <c r="T1" s="8" t="s">
        <v>138</v>
      </c>
    </row>
    <row r="2" spans="1:20" x14ac:dyDescent="0.2">
      <c r="A2" s="9">
        <v>5</v>
      </c>
      <c r="B2" s="10"/>
      <c r="C2" s="10" t="s">
        <v>29</v>
      </c>
      <c r="D2" s="10" t="s">
        <v>30</v>
      </c>
      <c r="E2" s="10" t="s">
        <v>139</v>
      </c>
      <c r="F2" s="10" t="s">
        <v>140</v>
      </c>
      <c r="G2" s="10" t="s">
        <v>141</v>
      </c>
      <c r="H2" s="10" t="s">
        <v>142</v>
      </c>
      <c r="I2" s="10" t="s">
        <v>143</v>
      </c>
      <c r="K2" s="10">
        <v>5</v>
      </c>
      <c r="L2" s="10"/>
      <c r="M2" s="10"/>
      <c r="N2" s="10" t="s">
        <v>29</v>
      </c>
      <c r="O2" s="10" t="s">
        <v>30</v>
      </c>
      <c r="P2" s="10" t="s">
        <v>263</v>
      </c>
      <c r="Q2" s="10" t="s">
        <v>264</v>
      </c>
      <c r="R2" s="10" t="s">
        <v>141</v>
      </c>
      <c r="S2" s="10" t="s">
        <v>265</v>
      </c>
      <c r="T2" s="10" t="s">
        <v>266</v>
      </c>
    </row>
    <row r="3" spans="1:20" s="18" customFormat="1" x14ac:dyDescent="0.2">
      <c r="A3" s="16">
        <v>5</v>
      </c>
      <c r="B3" s="17"/>
      <c r="C3" s="17" t="s">
        <v>31</v>
      </c>
      <c r="D3" s="17" t="s">
        <v>32</v>
      </c>
      <c r="E3" s="17" t="s">
        <v>144</v>
      </c>
      <c r="F3" s="17" t="s">
        <v>145</v>
      </c>
      <c r="G3" s="17" t="s">
        <v>146</v>
      </c>
      <c r="H3" s="17" t="s">
        <v>147</v>
      </c>
      <c r="I3" s="17" t="s">
        <v>148</v>
      </c>
      <c r="K3" s="17">
        <v>5</v>
      </c>
      <c r="L3" s="17"/>
      <c r="M3" s="17"/>
      <c r="N3" s="17" t="s">
        <v>31</v>
      </c>
      <c r="O3" s="17" t="s">
        <v>32</v>
      </c>
      <c r="P3" s="17" t="s">
        <v>267</v>
      </c>
      <c r="Q3" s="17" t="s">
        <v>268</v>
      </c>
      <c r="R3" s="17" t="s">
        <v>269</v>
      </c>
      <c r="S3" s="17" t="s">
        <v>270</v>
      </c>
      <c r="T3" s="17" t="s">
        <v>271</v>
      </c>
    </row>
    <row r="4" spans="1:20" x14ac:dyDescent="0.2">
      <c r="A4" s="9">
        <v>5</v>
      </c>
      <c r="B4" s="10"/>
      <c r="C4" s="10" t="s">
        <v>33</v>
      </c>
      <c r="D4" s="10" t="s">
        <v>34</v>
      </c>
      <c r="E4" s="10" t="s">
        <v>149</v>
      </c>
      <c r="F4" s="10" t="s">
        <v>150</v>
      </c>
      <c r="G4" s="10" t="s">
        <v>151</v>
      </c>
      <c r="H4" s="10" t="s">
        <v>152</v>
      </c>
      <c r="I4" s="10" t="s">
        <v>153</v>
      </c>
      <c r="K4" s="10">
        <v>5</v>
      </c>
      <c r="L4" s="10"/>
      <c r="M4" s="10"/>
      <c r="N4" s="10" t="s">
        <v>33</v>
      </c>
      <c r="O4" s="10" t="s">
        <v>34</v>
      </c>
      <c r="P4" s="10" t="s">
        <v>267</v>
      </c>
      <c r="Q4" s="10" t="s">
        <v>272</v>
      </c>
      <c r="R4" s="10" t="s">
        <v>141</v>
      </c>
      <c r="S4" s="10" t="s">
        <v>273</v>
      </c>
      <c r="T4" s="10" t="s">
        <v>274</v>
      </c>
    </row>
    <row r="5" spans="1:20" x14ac:dyDescent="0.2">
      <c r="A5" s="9">
        <v>5</v>
      </c>
      <c r="B5" s="10"/>
      <c r="C5" s="10" t="s">
        <v>35</v>
      </c>
      <c r="D5" s="10" t="s">
        <v>36</v>
      </c>
      <c r="E5" s="10" t="s">
        <v>154</v>
      </c>
      <c r="F5" s="10" t="s">
        <v>155</v>
      </c>
      <c r="G5" s="10" t="s">
        <v>141</v>
      </c>
      <c r="H5" s="10" t="s">
        <v>156</v>
      </c>
      <c r="I5" s="10" t="s">
        <v>157</v>
      </c>
      <c r="K5" s="10">
        <v>5</v>
      </c>
      <c r="L5" s="10"/>
      <c r="M5" s="10"/>
      <c r="N5" s="10" t="s">
        <v>35</v>
      </c>
      <c r="O5" s="10" t="s">
        <v>36</v>
      </c>
      <c r="P5" s="10" t="s">
        <v>275</v>
      </c>
      <c r="Q5" s="10" t="s">
        <v>276</v>
      </c>
      <c r="R5" s="10" t="s">
        <v>141</v>
      </c>
      <c r="S5" s="10" t="s">
        <v>277</v>
      </c>
      <c r="T5" s="10" t="s">
        <v>278</v>
      </c>
    </row>
    <row r="6" spans="1:20" x14ac:dyDescent="0.2">
      <c r="A6" s="9">
        <v>5</v>
      </c>
      <c r="B6" s="10"/>
      <c r="C6" s="10" t="s">
        <v>37</v>
      </c>
      <c r="D6" s="10" t="s">
        <v>38</v>
      </c>
      <c r="E6" s="10" t="s">
        <v>139</v>
      </c>
      <c r="F6" s="10" t="s">
        <v>158</v>
      </c>
      <c r="G6" s="10" t="s">
        <v>141</v>
      </c>
      <c r="H6" s="10" t="s">
        <v>159</v>
      </c>
      <c r="I6" s="10" t="s">
        <v>160</v>
      </c>
      <c r="K6" s="10">
        <v>5</v>
      </c>
      <c r="L6" s="10"/>
      <c r="M6" s="10"/>
      <c r="N6" s="10" t="s">
        <v>37</v>
      </c>
      <c r="O6" s="10" t="s">
        <v>38</v>
      </c>
      <c r="P6" s="10" t="s">
        <v>279</v>
      </c>
      <c r="Q6" s="10" t="s">
        <v>280</v>
      </c>
      <c r="R6" s="10" t="s">
        <v>141</v>
      </c>
      <c r="S6" s="10" t="s">
        <v>281</v>
      </c>
      <c r="T6" s="10" t="s">
        <v>282</v>
      </c>
    </row>
    <row r="7" spans="1:20" s="18" customFormat="1" x14ac:dyDescent="0.2">
      <c r="A7" s="16">
        <v>5</v>
      </c>
      <c r="B7" s="17"/>
      <c r="C7" s="17" t="s">
        <v>39</v>
      </c>
      <c r="D7" s="17" t="s">
        <v>40</v>
      </c>
      <c r="E7" s="17" t="s">
        <v>161</v>
      </c>
      <c r="F7" s="17" t="s">
        <v>162</v>
      </c>
      <c r="G7" s="17" t="s">
        <v>163</v>
      </c>
      <c r="H7" s="17" t="s">
        <v>164</v>
      </c>
      <c r="I7" s="17" t="s">
        <v>165</v>
      </c>
      <c r="J7" s="18" t="s">
        <v>412</v>
      </c>
      <c r="K7" s="17">
        <v>5</v>
      </c>
      <c r="L7" s="17"/>
      <c r="M7" s="17"/>
      <c r="N7" s="17" t="s">
        <v>39</v>
      </c>
      <c r="O7" s="17" t="s">
        <v>40</v>
      </c>
      <c r="P7" s="17" t="s">
        <v>283</v>
      </c>
      <c r="Q7" s="17" t="s">
        <v>284</v>
      </c>
      <c r="R7" s="17" t="s">
        <v>285</v>
      </c>
      <c r="S7" s="17" t="s">
        <v>286</v>
      </c>
      <c r="T7" s="17" t="s">
        <v>287</v>
      </c>
    </row>
    <row r="8" spans="1:20" s="13" customFormat="1" x14ac:dyDescent="0.2">
      <c r="A8" s="11">
        <v>5</v>
      </c>
      <c r="B8" s="12"/>
      <c r="C8" s="12" t="s">
        <v>41</v>
      </c>
      <c r="D8" s="12" t="s">
        <v>42</v>
      </c>
      <c r="E8" s="12" t="s">
        <v>166</v>
      </c>
      <c r="F8" s="12" t="s">
        <v>167</v>
      </c>
      <c r="G8" s="12" t="s">
        <v>163</v>
      </c>
      <c r="H8" s="12" t="s">
        <v>168</v>
      </c>
      <c r="I8" s="12" t="s">
        <v>169</v>
      </c>
      <c r="K8" s="12">
        <v>5</v>
      </c>
      <c r="L8" s="12"/>
      <c r="M8" s="12"/>
      <c r="N8" s="12" t="s">
        <v>41</v>
      </c>
      <c r="O8" s="12" t="s">
        <v>42</v>
      </c>
      <c r="P8" s="12" t="s">
        <v>288</v>
      </c>
      <c r="Q8" s="12" t="s">
        <v>289</v>
      </c>
      <c r="R8" s="12" t="s">
        <v>163</v>
      </c>
      <c r="S8" s="12" t="s">
        <v>290</v>
      </c>
      <c r="T8" s="12" t="s">
        <v>291</v>
      </c>
    </row>
    <row r="9" spans="1:20" s="13" customFormat="1" x14ac:dyDescent="0.2">
      <c r="A9" s="11">
        <v>4</v>
      </c>
      <c r="B9" s="12"/>
      <c r="C9" s="12" t="s">
        <v>45</v>
      </c>
      <c r="D9" s="12" t="s">
        <v>46</v>
      </c>
      <c r="E9" s="12" t="s">
        <v>170</v>
      </c>
      <c r="F9" s="12" t="s">
        <v>171</v>
      </c>
      <c r="G9" s="12" t="s">
        <v>163</v>
      </c>
      <c r="H9" s="12" t="s">
        <v>172</v>
      </c>
      <c r="I9" s="12" t="s">
        <v>173</v>
      </c>
      <c r="J9" s="13" t="s">
        <v>418</v>
      </c>
      <c r="K9" s="12">
        <v>4</v>
      </c>
      <c r="L9" s="12"/>
      <c r="M9" s="12"/>
      <c r="N9" s="12" t="s">
        <v>45</v>
      </c>
      <c r="O9" s="12" t="s">
        <v>46</v>
      </c>
      <c r="P9" s="12" t="s">
        <v>292</v>
      </c>
      <c r="Q9" s="12" t="s">
        <v>293</v>
      </c>
      <c r="R9" s="12" t="s">
        <v>163</v>
      </c>
      <c r="S9" s="12" t="s">
        <v>294</v>
      </c>
      <c r="T9" s="12" t="s">
        <v>295</v>
      </c>
    </row>
    <row r="10" spans="1:20" x14ac:dyDescent="0.2">
      <c r="A10" s="9">
        <v>4</v>
      </c>
      <c r="B10" s="10"/>
      <c r="C10" s="10" t="s">
        <v>47</v>
      </c>
      <c r="D10" s="10" t="s">
        <v>48</v>
      </c>
      <c r="E10" s="10" t="s">
        <v>139</v>
      </c>
      <c r="F10" s="10" t="s">
        <v>174</v>
      </c>
      <c r="G10" s="10" t="s">
        <v>141</v>
      </c>
      <c r="H10" s="10" t="s">
        <v>175</v>
      </c>
      <c r="I10" s="10" t="s">
        <v>176</v>
      </c>
      <c r="K10" s="10">
        <v>4</v>
      </c>
      <c r="L10" s="10"/>
      <c r="M10" s="10"/>
      <c r="N10" s="10" t="s">
        <v>47</v>
      </c>
      <c r="O10" s="10" t="s">
        <v>48</v>
      </c>
      <c r="P10" s="10" t="s">
        <v>296</v>
      </c>
      <c r="Q10" s="10" t="s">
        <v>297</v>
      </c>
      <c r="R10" s="10" t="s">
        <v>141</v>
      </c>
      <c r="S10" s="10" t="s">
        <v>298</v>
      </c>
      <c r="T10" s="10" t="s">
        <v>299</v>
      </c>
    </row>
    <row r="11" spans="1:20" s="13" customFormat="1" x14ac:dyDescent="0.2">
      <c r="A11" s="11">
        <v>4</v>
      </c>
      <c r="B11" s="12"/>
      <c r="C11" s="12" t="s">
        <v>51</v>
      </c>
      <c r="D11" s="12" t="s">
        <v>52</v>
      </c>
      <c r="E11" s="12" t="s">
        <v>177</v>
      </c>
      <c r="F11" s="12" t="s">
        <v>178</v>
      </c>
      <c r="G11" s="12" t="s">
        <v>163</v>
      </c>
      <c r="H11" s="12" t="s">
        <v>179</v>
      </c>
      <c r="I11" s="12" t="s">
        <v>180</v>
      </c>
      <c r="K11" s="12">
        <v>4</v>
      </c>
      <c r="L11" s="12"/>
      <c r="M11" s="12"/>
      <c r="N11" s="12" t="s">
        <v>51</v>
      </c>
      <c r="O11" s="12" t="s">
        <v>52</v>
      </c>
      <c r="P11" s="12" t="s">
        <v>292</v>
      </c>
      <c r="Q11" s="12" t="s">
        <v>300</v>
      </c>
      <c r="R11" s="12" t="s">
        <v>163</v>
      </c>
      <c r="S11" s="12" t="s">
        <v>301</v>
      </c>
      <c r="T11" s="12" t="s">
        <v>302</v>
      </c>
    </row>
    <row r="12" spans="1:20" s="18" customFormat="1" x14ac:dyDescent="0.2">
      <c r="A12" s="16">
        <v>4</v>
      </c>
      <c r="B12" s="17"/>
      <c r="C12" s="17" t="s">
        <v>53</v>
      </c>
      <c r="D12" s="17" t="s">
        <v>54</v>
      </c>
      <c r="E12" s="17" t="s">
        <v>181</v>
      </c>
      <c r="F12" s="17" t="s">
        <v>182</v>
      </c>
      <c r="G12" s="17" t="s">
        <v>183</v>
      </c>
      <c r="H12" s="17" t="s">
        <v>184</v>
      </c>
      <c r="I12" s="17" t="s">
        <v>185</v>
      </c>
      <c r="K12" s="17">
        <v>4</v>
      </c>
      <c r="L12" s="17"/>
      <c r="M12" s="17"/>
      <c r="N12" s="17" t="s">
        <v>53</v>
      </c>
      <c r="O12" s="17" t="s">
        <v>54</v>
      </c>
      <c r="P12" s="17" t="s">
        <v>267</v>
      </c>
      <c r="Q12" s="17" t="s">
        <v>303</v>
      </c>
      <c r="R12" s="17" t="s">
        <v>304</v>
      </c>
      <c r="S12" s="17" t="s">
        <v>305</v>
      </c>
      <c r="T12" s="17" t="s">
        <v>306</v>
      </c>
    </row>
    <row r="13" spans="1:20" s="25" customFormat="1" x14ac:dyDescent="0.2">
      <c r="A13" s="23">
        <v>4</v>
      </c>
      <c r="B13" s="24"/>
      <c r="C13" s="24" t="s">
        <v>57</v>
      </c>
      <c r="D13" s="24" t="s">
        <v>58</v>
      </c>
      <c r="E13" s="24" t="s">
        <v>190</v>
      </c>
      <c r="F13" s="24" t="s">
        <v>191</v>
      </c>
      <c r="G13" s="24" t="s">
        <v>163</v>
      </c>
      <c r="H13" s="24" t="s">
        <v>192</v>
      </c>
      <c r="I13" s="24" t="s">
        <v>193</v>
      </c>
      <c r="J13" s="25" t="s">
        <v>417</v>
      </c>
      <c r="K13" s="24">
        <v>4</v>
      </c>
      <c r="L13" s="24"/>
      <c r="M13" s="24"/>
      <c r="N13" s="24" t="s">
        <v>57</v>
      </c>
      <c r="O13" s="24" t="s">
        <v>58</v>
      </c>
      <c r="P13" s="24" t="s">
        <v>288</v>
      </c>
      <c r="Q13" s="24" t="s">
        <v>311</v>
      </c>
      <c r="R13" s="24" t="s">
        <v>163</v>
      </c>
      <c r="S13" s="24" t="s">
        <v>312</v>
      </c>
      <c r="T13" s="24" t="s">
        <v>313</v>
      </c>
    </row>
    <row r="14" spans="1:20" x14ac:dyDescent="0.2">
      <c r="A14" s="9">
        <v>4</v>
      </c>
      <c r="B14" s="10"/>
      <c r="C14" s="10" t="s">
        <v>59</v>
      </c>
      <c r="D14" s="10" t="s">
        <v>60</v>
      </c>
      <c r="E14" s="10" t="s">
        <v>139</v>
      </c>
      <c r="F14" s="10" t="s">
        <v>155</v>
      </c>
      <c r="G14" s="10" t="s">
        <v>141</v>
      </c>
      <c r="H14" s="10" t="s">
        <v>194</v>
      </c>
      <c r="I14" s="10" t="s">
        <v>195</v>
      </c>
      <c r="K14" s="10">
        <v>4</v>
      </c>
      <c r="L14" s="10"/>
      <c r="M14" s="10"/>
      <c r="N14" s="10" t="s">
        <v>59</v>
      </c>
      <c r="O14" s="10" t="s">
        <v>60</v>
      </c>
      <c r="P14" s="10" t="s">
        <v>279</v>
      </c>
      <c r="Q14" s="10" t="s">
        <v>314</v>
      </c>
      <c r="R14" s="10" t="s">
        <v>141</v>
      </c>
      <c r="S14" s="10" t="s">
        <v>315</v>
      </c>
      <c r="T14" s="10" t="s">
        <v>316</v>
      </c>
    </row>
    <row r="15" spans="1:20" s="25" customFormat="1" x14ac:dyDescent="0.2">
      <c r="A15" s="23">
        <v>3</v>
      </c>
      <c r="B15" s="24"/>
      <c r="C15" s="24" t="s">
        <v>61</v>
      </c>
      <c r="D15" s="24" t="s">
        <v>62</v>
      </c>
      <c r="E15" s="24" t="s">
        <v>196</v>
      </c>
      <c r="F15" s="24" t="s">
        <v>197</v>
      </c>
      <c r="G15" s="24" t="s">
        <v>198</v>
      </c>
      <c r="H15" s="24" t="s">
        <v>199</v>
      </c>
      <c r="I15" s="24" t="s">
        <v>200</v>
      </c>
      <c r="K15" s="24">
        <v>3</v>
      </c>
      <c r="L15" s="24"/>
      <c r="M15" s="24"/>
      <c r="N15" s="24" t="s">
        <v>61</v>
      </c>
      <c r="O15" s="24" t="s">
        <v>62</v>
      </c>
      <c r="P15" s="24" t="s">
        <v>317</v>
      </c>
      <c r="Q15" s="24" t="s">
        <v>318</v>
      </c>
      <c r="R15" s="24" t="s">
        <v>269</v>
      </c>
      <c r="S15" s="24" t="s">
        <v>319</v>
      </c>
      <c r="T15" s="24" t="s">
        <v>320</v>
      </c>
    </row>
    <row r="16" spans="1:20" s="13" customFormat="1" x14ac:dyDescent="0.2">
      <c r="A16" s="11">
        <v>4</v>
      </c>
      <c r="B16" s="12">
        <v>4</v>
      </c>
      <c r="C16" s="12" t="s">
        <v>201</v>
      </c>
      <c r="D16" s="12" t="s">
        <v>112</v>
      </c>
      <c r="E16" s="12" t="s">
        <v>202</v>
      </c>
      <c r="F16" s="12" t="s">
        <v>203</v>
      </c>
      <c r="G16" s="12" t="s">
        <v>163</v>
      </c>
      <c r="H16" s="12" t="s">
        <v>204</v>
      </c>
      <c r="I16" s="12" t="s">
        <v>205</v>
      </c>
      <c r="J16" s="13" t="s">
        <v>411</v>
      </c>
      <c r="K16" s="12">
        <v>3</v>
      </c>
      <c r="L16" s="12"/>
      <c r="M16" s="12"/>
      <c r="N16" s="12" t="s">
        <v>201</v>
      </c>
      <c r="O16" s="12" t="s">
        <v>112</v>
      </c>
      <c r="P16" s="12" t="s">
        <v>288</v>
      </c>
      <c r="Q16" s="12" t="s">
        <v>321</v>
      </c>
      <c r="R16" s="12" t="s">
        <v>163</v>
      </c>
      <c r="S16" s="12" t="s">
        <v>322</v>
      </c>
      <c r="T16" s="12" t="s">
        <v>323</v>
      </c>
    </row>
    <row r="17" spans="1:20" s="18" customFormat="1" x14ac:dyDescent="0.2">
      <c r="A17" s="16">
        <v>3</v>
      </c>
      <c r="B17" s="17">
        <v>3.5</v>
      </c>
      <c r="C17" s="17" t="s">
        <v>63</v>
      </c>
      <c r="D17" s="17" t="s">
        <v>64</v>
      </c>
      <c r="E17" s="17" t="s">
        <v>206</v>
      </c>
      <c r="F17" s="17" t="s">
        <v>207</v>
      </c>
      <c r="G17" s="17" t="s">
        <v>183</v>
      </c>
      <c r="H17" s="17" t="s">
        <v>208</v>
      </c>
      <c r="I17" s="17" t="s">
        <v>209</v>
      </c>
      <c r="J17" s="18" t="s">
        <v>398</v>
      </c>
      <c r="K17" s="17">
        <v>3</v>
      </c>
      <c r="L17" s="17"/>
      <c r="M17" s="17"/>
      <c r="N17" s="17" t="s">
        <v>63</v>
      </c>
      <c r="O17" s="17" t="s">
        <v>64</v>
      </c>
      <c r="P17" s="17" t="s">
        <v>324</v>
      </c>
      <c r="Q17" s="17" t="s">
        <v>325</v>
      </c>
      <c r="R17" s="17" t="s">
        <v>285</v>
      </c>
      <c r="S17" s="17" t="s">
        <v>326</v>
      </c>
      <c r="T17" s="17" t="s">
        <v>327</v>
      </c>
    </row>
    <row r="18" spans="1:20" s="13" customFormat="1" x14ac:dyDescent="0.2">
      <c r="A18" s="11">
        <v>3</v>
      </c>
      <c r="B18" s="12"/>
      <c r="C18" s="12" t="s">
        <v>65</v>
      </c>
      <c r="D18" s="12" t="s">
        <v>66</v>
      </c>
      <c r="E18" s="12" t="s">
        <v>177</v>
      </c>
      <c r="F18" s="12" t="s">
        <v>210</v>
      </c>
      <c r="G18" s="12" t="s">
        <v>163</v>
      </c>
      <c r="H18" s="12" t="s">
        <v>211</v>
      </c>
      <c r="I18" s="12" t="s">
        <v>212</v>
      </c>
      <c r="J18" s="13" t="s">
        <v>403</v>
      </c>
      <c r="K18" s="12">
        <v>3</v>
      </c>
      <c r="L18" s="12"/>
      <c r="M18" s="12"/>
      <c r="N18" s="12" t="s">
        <v>65</v>
      </c>
      <c r="O18" s="12" t="s">
        <v>66</v>
      </c>
      <c r="P18" s="12" t="s">
        <v>292</v>
      </c>
      <c r="Q18" s="12" t="s">
        <v>328</v>
      </c>
      <c r="R18" s="12" t="s">
        <v>163</v>
      </c>
      <c r="S18" s="12" t="s">
        <v>329</v>
      </c>
      <c r="T18" s="12" t="s">
        <v>330</v>
      </c>
    </row>
    <row r="19" spans="1:20" x14ac:dyDescent="0.2">
      <c r="A19" s="9">
        <v>3</v>
      </c>
      <c r="B19" s="10"/>
      <c r="C19" s="10" t="s">
        <v>67</v>
      </c>
      <c r="D19" s="10" t="s">
        <v>68</v>
      </c>
      <c r="E19" s="10" t="s">
        <v>213</v>
      </c>
      <c r="F19" s="10" t="s">
        <v>214</v>
      </c>
      <c r="G19" s="10" t="s">
        <v>163</v>
      </c>
      <c r="H19" s="10" t="s">
        <v>215</v>
      </c>
      <c r="I19" s="10" t="s">
        <v>216</v>
      </c>
      <c r="J19" s="19" t="s">
        <v>410</v>
      </c>
      <c r="K19" s="10">
        <v>3</v>
      </c>
      <c r="L19" s="10"/>
      <c r="M19" s="10"/>
      <c r="N19" s="10" t="s">
        <v>67</v>
      </c>
      <c r="O19" s="10" t="s">
        <v>68</v>
      </c>
      <c r="P19" s="10" t="s">
        <v>283</v>
      </c>
      <c r="Q19" s="10" t="s">
        <v>331</v>
      </c>
      <c r="R19" s="10" t="s">
        <v>285</v>
      </c>
      <c r="S19" s="10" t="s">
        <v>332</v>
      </c>
      <c r="T19" s="10" t="s">
        <v>333</v>
      </c>
    </row>
    <row r="20" spans="1:20" s="13" customFormat="1" x14ac:dyDescent="0.2">
      <c r="A20" s="11">
        <v>3</v>
      </c>
      <c r="B20" s="12"/>
      <c r="C20" s="12" t="s">
        <v>217</v>
      </c>
      <c r="D20" s="12" t="s">
        <v>111</v>
      </c>
      <c r="E20" s="12" t="s">
        <v>218</v>
      </c>
      <c r="F20" s="12" t="s">
        <v>219</v>
      </c>
      <c r="G20" s="12" t="s">
        <v>163</v>
      </c>
      <c r="H20" s="12" t="s">
        <v>220</v>
      </c>
      <c r="I20" s="12" t="s">
        <v>221</v>
      </c>
      <c r="J20" s="13" t="s">
        <v>404</v>
      </c>
      <c r="K20" s="12">
        <v>3</v>
      </c>
      <c r="L20" s="12"/>
      <c r="M20" s="12"/>
      <c r="N20" s="12" t="s">
        <v>217</v>
      </c>
      <c r="O20" s="12" t="s">
        <v>111</v>
      </c>
      <c r="P20" s="12" t="s">
        <v>292</v>
      </c>
      <c r="Q20" s="12" t="s">
        <v>334</v>
      </c>
      <c r="R20" s="12" t="s">
        <v>163</v>
      </c>
      <c r="S20" s="12" t="s">
        <v>335</v>
      </c>
      <c r="T20" s="12" t="s">
        <v>336</v>
      </c>
    </row>
    <row r="21" spans="1:20" s="13" customFormat="1" x14ac:dyDescent="0.2">
      <c r="A21" s="11">
        <v>3</v>
      </c>
      <c r="B21" s="12"/>
      <c r="C21" s="12" t="s">
        <v>69</v>
      </c>
      <c r="D21" s="12" t="s">
        <v>70</v>
      </c>
      <c r="E21" s="12" t="s">
        <v>218</v>
      </c>
      <c r="F21" s="12" t="s">
        <v>219</v>
      </c>
      <c r="G21" s="12" t="s">
        <v>163</v>
      </c>
      <c r="H21" s="12" t="s">
        <v>222</v>
      </c>
      <c r="I21" s="12" t="s">
        <v>221</v>
      </c>
      <c r="J21" s="13" t="s">
        <v>405</v>
      </c>
      <c r="K21" s="12">
        <v>3</v>
      </c>
      <c r="L21" s="12"/>
      <c r="M21" s="12"/>
      <c r="N21" s="12" t="s">
        <v>69</v>
      </c>
      <c r="O21" s="12" t="s">
        <v>70</v>
      </c>
      <c r="P21" s="12" t="s">
        <v>292</v>
      </c>
      <c r="Q21" s="12" t="s">
        <v>337</v>
      </c>
      <c r="R21" s="12" t="s">
        <v>163</v>
      </c>
      <c r="S21" s="12" t="s">
        <v>338</v>
      </c>
      <c r="T21" s="12" t="s">
        <v>339</v>
      </c>
    </row>
    <row r="22" spans="1:20" s="18" customFormat="1" x14ac:dyDescent="0.2">
      <c r="A22" s="16">
        <v>3</v>
      </c>
      <c r="B22" s="17">
        <v>3.5</v>
      </c>
      <c r="C22" s="17" t="s">
        <v>71</v>
      </c>
      <c r="D22" s="17" t="s">
        <v>72</v>
      </c>
      <c r="E22" s="17" t="s">
        <v>149</v>
      </c>
      <c r="F22" s="17" t="s">
        <v>223</v>
      </c>
      <c r="G22" s="17" t="s">
        <v>224</v>
      </c>
      <c r="H22" s="17" t="s">
        <v>152</v>
      </c>
      <c r="I22" s="17" t="s">
        <v>225</v>
      </c>
      <c r="J22" s="18" t="s">
        <v>398</v>
      </c>
      <c r="K22" s="17">
        <v>3</v>
      </c>
      <c r="L22" s="17"/>
      <c r="M22" s="17"/>
      <c r="N22" s="17" t="s">
        <v>71</v>
      </c>
      <c r="O22" s="17" t="s">
        <v>72</v>
      </c>
      <c r="P22" s="17" t="s">
        <v>267</v>
      </c>
      <c r="Q22" s="17" t="s">
        <v>340</v>
      </c>
      <c r="R22" s="17" t="s">
        <v>308</v>
      </c>
      <c r="S22" s="17" t="s">
        <v>341</v>
      </c>
      <c r="T22" s="17" t="s">
        <v>342</v>
      </c>
    </row>
    <row r="23" spans="1:20" s="25" customFormat="1" x14ac:dyDescent="0.2">
      <c r="A23" s="23">
        <v>2</v>
      </c>
      <c r="B23" s="24"/>
      <c r="C23" s="24" t="s">
        <v>75</v>
      </c>
      <c r="D23" s="24" t="s">
        <v>76</v>
      </c>
      <c r="E23" s="24" t="s">
        <v>206</v>
      </c>
      <c r="F23" s="24" t="s">
        <v>226</v>
      </c>
      <c r="G23" s="24" t="s">
        <v>183</v>
      </c>
      <c r="H23" s="24" t="s">
        <v>227</v>
      </c>
      <c r="I23" s="24" t="s">
        <v>228</v>
      </c>
      <c r="J23" s="25" t="s">
        <v>400</v>
      </c>
      <c r="K23" s="24">
        <v>2</v>
      </c>
      <c r="L23" s="24"/>
      <c r="M23" s="24"/>
      <c r="N23" s="24" t="s">
        <v>75</v>
      </c>
      <c r="O23" s="24" t="s">
        <v>76</v>
      </c>
      <c r="P23" s="24" t="s">
        <v>292</v>
      </c>
      <c r="Q23" s="24" t="s">
        <v>343</v>
      </c>
      <c r="R23" s="24" t="s">
        <v>183</v>
      </c>
      <c r="S23" s="24" t="s">
        <v>344</v>
      </c>
      <c r="T23" s="24" t="s">
        <v>345</v>
      </c>
    </row>
    <row r="24" spans="1:20" x14ac:dyDescent="0.2">
      <c r="A24" s="9">
        <v>2</v>
      </c>
      <c r="B24" s="10"/>
      <c r="C24" s="10" t="s">
        <v>77</v>
      </c>
      <c r="D24" s="10" t="s">
        <v>78</v>
      </c>
      <c r="E24" s="10" t="s">
        <v>229</v>
      </c>
      <c r="F24" s="10" t="s">
        <v>230</v>
      </c>
      <c r="G24" s="10" t="s">
        <v>198</v>
      </c>
      <c r="H24" s="10" t="s">
        <v>231</v>
      </c>
      <c r="I24" s="10" t="s">
        <v>232</v>
      </c>
      <c r="K24" s="10">
        <v>2</v>
      </c>
      <c r="L24" s="10"/>
      <c r="M24" s="10"/>
      <c r="N24" s="10" t="s">
        <v>77</v>
      </c>
      <c r="O24" s="10" t="s">
        <v>78</v>
      </c>
      <c r="P24" s="10" t="s">
        <v>267</v>
      </c>
      <c r="Q24" s="10" t="s">
        <v>346</v>
      </c>
      <c r="R24" s="10" t="s">
        <v>308</v>
      </c>
      <c r="S24" s="10" t="s">
        <v>347</v>
      </c>
      <c r="T24" s="10" t="s">
        <v>348</v>
      </c>
    </row>
    <row r="25" spans="1:20" s="18" customFormat="1" x14ac:dyDescent="0.2">
      <c r="A25" s="16">
        <v>2</v>
      </c>
      <c r="B25" s="17">
        <v>2.5</v>
      </c>
      <c r="C25" s="17" t="s">
        <v>97</v>
      </c>
      <c r="D25" s="17" t="s">
        <v>98</v>
      </c>
      <c r="E25" s="17" t="s">
        <v>252</v>
      </c>
      <c r="F25" s="17" t="s">
        <v>253</v>
      </c>
      <c r="G25" s="17" t="s">
        <v>151</v>
      </c>
      <c r="H25" s="17" t="s">
        <v>254</v>
      </c>
      <c r="I25" s="17" t="s">
        <v>255</v>
      </c>
      <c r="J25" s="18" t="s">
        <v>414</v>
      </c>
      <c r="K25" s="17">
        <v>1</v>
      </c>
      <c r="L25" s="17"/>
      <c r="M25" s="17"/>
      <c r="N25" s="17" t="s">
        <v>97</v>
      </c>
      <c r="O25" s="17" t="s">
        <v>98</v>
      </c>
      <c r="P25" s="17" t="s">
        <v>267</v>
      </c>
      <c r="Q25" s="17" t="s">
        <v>374</v>
      </c>
      <c r="R25" s="17" t="s">
        <v>269</v>
      </c>
      <c r="S25" s="17" t="s">
        <v>375</v>
      </c>
      <c r="T25" s="17" t="s">
        <v>376</v>
      </c>
    </row>
    <row r="26" spans="1:20" s="18" customFormat="1" x14ac:dyDescent="0.2">
      <c r="A26" s="16">
        <v>2</v>
      </c>
      <c r="B26" s="17"/>
      <c r="C26" s="17" t="s">
        <v>79</v>
      </c>
      <c r="D26" s="17" t="s">
        <v>80</v>
      </c>
      <c r="E26" s="17" t="s">
        <v>233</v>
      </c>
      <c r="F26" s="17" t="s">
        <v>234</v>
      </c>
      <c r="G26" s="17" t="s">
        <v>183</v>
      </c>
      <c r="H26" s="17" t="s">
        <v>235</v>
      </c>
      <c r="I26" s="17" t="s">
        <v>236</v>
      </c>
      <c r="J26" s="18" t="s">
        <v>397</v>
      </c>
      <c r="K26" s="17">
        <v>2</v>
      </c>
      <c r="L26" s="17"/>
      <c r="M26" s="17"/>
      <c r="N26" s="17" t="s">
        <v>79</v>
      </c>
      <c r="O26" s="17" t="s">
        <v>80</v>
      </c>
      <c r="P26" s="17" t="s">
        <v>349</v>
      </c>
      <c r="Q26" s="17" t="s">
        <v>350</v>
      </c>
      <c r="R26" s="17" t="s">
        <v>141</v>
      </c>
      <c r="S26" s="17" t="s">
        <v>351</v>
      </c>
      <c r="T26" s="17" t="s">
        <v>352</v>
      </c>
    </row>
    <row r="27" spans="1:20" s="18" customFormat="1" x14ac:dyDescent="0.2">
      <c r="A27" s="16">
        <v>2</v>
      </c>
      <c r="B27" s="17"/>
      <c r="C27" s="17" t="s">
        <v>55</v>
      </c>
      <c r="D27" s="17" t="s">
        <v>56</v>
      </c>
      <c r="E27" s="17" t="s">
        <v>186</v>
      </c>
      <c r="F27" s="17" t="s">
        <v>187</v>
      </c>
      <c r="G27" s="17" t="s">
        <v>141</v>
      </c>
      <c r="H27" s="17" t="s">
        <v>188</v>
      </c>
      <c r="I27" s="17" t="s">
        <v>189</v>
      </c>
      <c r="J27" s="18" t="s">
        <v>415</v>
      </c>
      <c r="K27" s="17">
        <v>4</v>
      </c>
      <c r="L27" s="17"/>
      <c r="M27" s="17"/>
      <c r="N27" s="17" t="s">
        <v>55</v>
      </c>
      <c r="O27" s="17" t="s">
        <v>56</v>
      </c>
      <c r="P27" s="17" t="s">
        <v>283</v>
      </c>
      <c r="Q27" s="17" t="s">
        <v>307</v>
      </c>
      <c r="R27" s="17" t="s">
        <v>308</v>
      </c>
      <c r="S27" s="17" t="s">
        <v>309</v>
      </c>
      <c r="T27" s="17" t="s">
        <v>310</v>
      </c>
    </row>
    <row r="28" spans="1:20" s="19" customFormat="1" x14ac:dyDescent="0.2">
      <c r="A28" s="20">
        <v>2</v>
      </c>
      <c r="B28" s="21"/>
      <c r="C28" s="21" t="s">
        <v>237</v>
      </c>
      <c r="D28" s="21" t="s">
        <v>115</v>
      </c>
      <c r="E28" s="21" t="s">
        <v>196</v>
      </c>
      <c r="F28" s="21" t="s">
        <v>197</v>
      </c>
      <c r="G28" s="21" t="s">
        <v>198</v>
      </c>
      <c r="H28" s="21" t="s">
        <v>238</v>
      </c>
      <c r="I28" s="21" t="s">
        <v>221</v>
      </c>
      <c r="J28" s="19" t="s">
        <v>409</v>
      </c>
      <c r="K28" s="21">
        <v>2</v>
      </c>
      <c r="L28" s="21"/>
      <c r="M28" s="21"/>
      <c r="N28" s="21" t="s">
        <v>237</v>
      </c>
      <c r="O28" s="21" t="s">
        <v>115</v>
      </c>
      <c r="P28" s="21" t="s">
        <v>292</v>
      </c>
      <c r="Q28" s="21" t="s">
        <v>353</v>
      </c>
      <c r="R28" s="21" t="s">
        <v>183</v>
      </c>
      <c r="S28" s="21" t="s">
        <v>354</v>
      </c>
      <c r="T28" s="21" t="s">
        <v>355</v>
      </c>
    </row>
    <row r="29" spans="1:20" s="13" customFormat="1" x14ac:dyDescent="0.2">
      <c r="A29" s="11">
        <v>2</v>
      </c>
      <c r="B29" s="12"/>
      <c r="C29" s="12" t="s">
        <v>73</v>
      </c>
      <c r="D29" s="12" t="s">
        <v>74</v>
      </c>
      <c r="E29" s="12" t="s">
        <v>196</v>
      </c>
      <c r="F29" s="12" t="s">
        <v>239</v>
      </c>
      <c r="G29" s="12" t="s">
        <v>151</v>
      </c>
      <c r="H29" s="12" t="s">
        <v>240</v>
      </c>
      <c r="I29" s="12" t="s">
        <v>241</v>
      </c>
      <c r="J29" s="13" t="s">
        <v>395</v>
      </c>
      <c r="K29" s="12">
        <v>2</v>
      </c>
      <c r="L29" s="12"/>
      <c r="M29" s="12"/>
      <c r="N29" s="12" t="s">
        <v>73</v>
      </c>
      <c r="O29" s="12" t="s">
        <v>74</v>
      </c>
      <c r="P29" s="12" t="s">
        <v>356</v>
      </c>
      <c r="Q29" s="12" t="s">
        <v>357</v>
      </c>
      <c r="R29" s="12" t="s">
        <v>308</v>
      </c>
      <c r="S29" s="12" t="s">
        <v>358</v>
      </c>
      <c r="T29" s="12" t="s">
        <v>359</v>
      </c>
    </row>
    <row r="30" spans="1:20" s="1" customFormat="1" x14ac:dyDescent="0.2">
      <c r="A30" s="14">
        <v>2</v>
      </c>
      <c r="B30" s="15"/>
      <c r="C30" s="15" t="s">
        <v>49</v>
      </c>
      <c r="D30" s="15" t="s">
        <v>50</v>
      </c>
      <c r="E30" s="15" t="s">
        <v>196</v>
      </c>
      <c r="F30" s="15" t="s">
        <v>242</v>
      </c>
      <c r="G30" s="15" t="s">
        <v>243</v>
      </c>
      <c r="H30" s="15" t="s">
        <v>244</v>
      </c>
      <c r="I30" s="15" t="s">
        <v>245</v>
      </c>
      <c r="J30" s="1" t="s">
        <v>413</v>
      </c>
      <c r="K30" s="15">
        <v>2</v>
      </c>
      <c r="L30" s="15"/>
      <c r="M30" s="15"/>
      <c r="N30" s="15" t="s">
        <v>49</v>
      </c>
      <c r="O30" s="15" t="s">
        <v>50</v>
      </c>
      <c r="P30" s="15" t="s">
        <v>360</v>
      </c>
      <c r="Q30" s="15" t="s">
        <v>361</v>
      </c>
      <c r="R30" s="15" t="s">
        <v>304</v>
      </c>
      <c r="S30" s="15" t="s">
        <v>362</v>
      </c>
      <c r="T30" s="15" t="s">
        <v>363</v>
      </c>
    </row>
    <row r="31" spans="1:20" s="13" customFormat="1" x14ac:dyDescent="0.2">
      <c r="A31" s="11">
        <v>2</v>
      </c>
      <c r="B31" s="12"/>
      <c r="C31" s="12" t="s">
        <v>81</v>
      </c>
      <c r="D31" s="12" t="s">
        <v>82</v>
      </c>
      <c r="E31" s="12" t="s">
        <v>196</v>
      </c>
      <c r="F31" s="12" t="s">
        <v>246</v>
      </c>
      <c r="G31" s="12" t="s">
        <v>183</v>
      </c>
      <c r="H31" s="12" t="s">
        <v>247</v>
      </c>
      <c r="I31" s="12" t="s">
        <v>248</v>
      </c>
      <c r="J31" s="13" t="s">
        <v>396</v>
      </c>
      <c r="K31" s="12">
        <v>2</v>
      </c>
      <c r="L31" s="12"/>
      <c r="M31" s="12" t="s">
        <v>407</v>
      </c>
      <c r="N31" s="12" t="s">
        <v>81</v>
      </c>
      <c r="O31" s="12" t="s">
        <v>82</v>
      </c>
      <c r="P31" s="12" t="s">
        <v>364</v>
      </c>
      <c r="Q31" s="12" t="s">
        <v>365</v>
      </c>
      <c r="R31" s="12" t="s">
        <v>183</v>
      </c>
      <c r="S31" s="12" t="s">
        <v>366</v>
      </c>
      <c r="T31" s="12" t="s">
        <v>367</v>
      </c>
    </row>
    <row r="32" spans="1:20" x14ac:dyDescent="0.2">
      <c r="A32" s="9">
        <v>2</v>
      </c>
      <c r="B32" s="10"/>
      <c r="C32" s="10" t="s">
        <v>83</v>
      </c>
      <c r="D32" s="10" t="s">
        <v>84</v>
      </c>
      <c r="E32" s="10" t="s">
        <v>196</v>
      </c>
      <c r="F32" s="10" t="s">
        <v>249</v>
      </c>
      <c r="G32" s="10" t="s">
        <v>243</v>
      </c>
      <c r="H32" s="10" t="s">
        <v>250</v>
      </c>
      <c r="I32" s="10" t="s">
        <v>251</v>
      </c>
      <c r="K32" s="10">
        <v>2</v>
      </c>
      <c r="L32" s="10"/>
      <c r="M32" s="10" t="s">
        <v>408</v>
      </c>
      <c r="N32" s="10" t="s">
        <v>83</v>
      </c>
      <c r="O32" s="10" t="s">
        <v>84</v>
      </c>
      <c r="P32" s="10" t="s">
        <v>292</v>
      </c>
      <c r="Q32" s="10" t="s">
        <v>368</v>
      </c>
      <c r="R32" s="10" t="s">
        <v>183</v>
      </c>
      <c r="S32" s="10" t="s">
        <v>369</v>
      </c>
      <c r="T32" s="10" t="s">
        <v>370</v>
      </c>
    </row>
    <row r="33" spans="1:20" x14ac:dyDescent="0.2">
      <c r="A33" s="9">
        <v>1</v>
      </c>
      <c r="B33" s="10"/>
      <c r="C33" s="10" t="s">
        <v>95</v>
      </c>
      <c r="D33" s="10" t="s">
        <v>96</v>
      </c>
      <c r="E33" s="10" t="s">
        <v>196</v>
      </c>
      <c r="F33" s="10" t="s">
        <v>249</v>
      </c>
      <c r="G33" s="10" t="s">
        <v>151</v>
      </c>
      <c r="H33" s="10" t="s">
        <v>152</v>
      </c>
      <c r="I33" s="10" t="s">
        <v>241</v>
      </c>
      <c r="K33" s="10">
        <v>1</v>
      </c>
      <c r="L33" s="10"/>
      <c r="M33" s="10"/>
      <c r="N33" s="10" t="s">
        <v>95</v>
      </c>
      <c r="O33" s="10" t="s">
        <v>96</v>
      </c>
      <c r="P33" s="10" t="s">
        <v>292</v>
      </c>
      <c r="Q33" s="10" t="s">
        <v>371</v>
      </c>
      <c r="R33" s="10" t="s">
        <v>183</v>
      </c>
      <c r="S33" s="10" t="s">
        <v>372</v>
      </c>
      <c r="T33" s="10" t="s">
        <v>373</v>
      </c>
    </row>
    <row r="34" spans="1:20" s="13" customFormat="1" x14ac:dyDescent="0.2">
      <c r="A34" s="11">
        <v>1</v>
      </c>
      <c r="B34" s="12"/>
      <c r="C34" s="12" t="s">
        <v>99</v>
      </c>
      <c r="D34" s="12" t="s">
        <v>100</v>
      </c>
      <c r="E34" s="12" t="s">
        <v>206</v>
      </c>
      <c r="F34" s="12" t="s">
        <v>256</v>
      </c>
      <c r="G34" s="12" t="s">
        <v>183</v>
      </c>
      <c r="H34" s="12" t="s">
        <v>235</v>
      </c>
      <c r="I34" s="12" t="s">
        <v>257</v>
      </c>
      <c r="J34" s="13" t="s">
        <v>402</v>
      </c>
      <c r="K34" s="12">
        <v>1</v>
      </c>
      <c r="L34" s="12"/>
      <c r="M34" s="12"/>
      <c r="N34" s="12" t="s">
        <v>99</v>
      </c>
      <c r="O34" s="12" t="s">
        <v>100</v>
      </c>
      <c r="P34" s="12" t="s">
        <v>292</v>
      </c>
      <c r="Q34" s="12" t="s">
        <v>377</v>
      </c>
      <c r="R34" s="12" t="s">
        <v>141</v>
      </c>
      <c r="S34" s="12" t="s">
        <v>222</v>
      </c>
      <c r="T34" s="12" t="s">
        <v>378</v>
      </c>
    </row>
    <row r="35" spans="1:20" s="13" customFormat="1" x14ac:dyDescent="0.2">
      <c r="A35" s="11">
        <v>1</v>
      </c>
      <c r="B35" s="12"/>
      <c r="C35" s="12" t="s">
        <v>85</v>
      </c>
      <c r="D35" s="12" t="s">
        <v>86</v>
      </c>
      <c r="E35" s="12" t="s">
        <v>196</v>
      </c>
      <c r="F35" s="12" t="s">
        <v>249</v>
      </c>
      <c r="G35" s="12" t="s">
        <v>198</v>
      </c>
      <c r="H35" s="12" t="s">
        <v>258</v>
      </c>
      <c r="I35" s="12" t="s">
        <v>241</v>
      </c>
      <c r="J35" s="13" t="s">
        <v>401</v>
      </c>
      <c r="K35" s="12">
        <v>1</v>
      </c>
      <c r="L35" s="12"/>
      <c r="M35" s="12"/>
      <c r="N35" s="12" t="s">
        <v>85</v>
      </c>
      <c r="O35" s="12" t="s">
        <v>86</v>
      </c>
      <c r="P35" s="12" t="s">
        <v>349</v>
      </c>
      <c r="Q35" s="12" t="s">
        <v>379</v>
      </c>
      <c r="R35" s="12" t="s">
        <v>269</v>
      </c>
      <c r="S35" s="12" t="s">
        <v>380</v>
      </c>
      <c r="T35" s="12" t="s">
        <v>381</v>
      </c>
    </row>
    <row r="36" spans="1:20" x14ac:dyDescent="0.2">
      <c r="A36" s="9">
        <v>1</v>
      </c>
      <c r="B36" s="10"/>
      <c r="C36" s="10" t="s">
        <v>87</v>
      </c>
      <c r="D36" s="10" t="s">
        <v>88</v>
      </c>
      <c r="E36" s="10" t="s">
        <v>206</v>
      </c>
      <c r="F36" s="10" t="s">
        <v>259</v>
      </c>
      <c r="G36" s="10" t="s">
        <v>163</v>
      </c>
      <c r="H36" s="10" t="s">
        <v>260</v>
      </c>
      <c r="I36" s="10" t="s">
        <v>261</v>
      </c>
      <c r="K36" s="10">
        <v>1</v>
      </c>
      <c r="L36" s="10"/>
      <c r="M36" s="10"/>
      <c r="N36" s="10" t="s">
        <v>87</v>
      </c>
      <c r="O36" s="10" t="s">
        <v>88</v>
      </c>
      <c r="P36" s="10" t="s">
        <v>292</v>
      </c>
      <c r="Q36" s="10" t="s">
        <v>382</v>
      </c>
      <c r="R36" s="10" t="s">
        <v>163</v>
      </c>
      <c r="S36" s="10" t="s">
        <v>383</v>
      </c>
      <c r="T36" s="10" t="s">
        <v>384</v>
      </c>
    </row>
    <row r="37" spans="1:20" s="13" customFormat="1" x14ac:dyDescent="0.2">
      <c r="A37" s="11">
        <v>1</v>
      </c>
      <c r="B37" s="12"/>
      <c r="C37" s="12" t="s">
        <v>89</v>
      </c>
      <c r="D37" s="12" t="s">
        <v>90</v>
      </c>
      <c r="E37" s="12" t="s">
        <v>196</v>
      </c>
      <c r="F37" s="12" t="s">
        <v>239</v>
      </c>
      <c r="G37" s="12" t="s">
        <v>151</v>
      </c>
      <c r="H37" s="12" t="s">
        <v>240</v>
      </c>
      <c r="I37" s="12" t="s">
        <v>241</v>
      </c>
      <c r="J37" s="13" t="s">
        <v>399</v>
      </c>
      <c r="K37" s="12">
        <v>1</v>
      </c>
      <c r="L37" s="12"/>
      <c r="M37" s="12" t="s">
        <v>406</v>
      </c>
      <c r="N37" s="12" t="s">
        <v>89</v>
      </c>
      <c r="O37" s="12" t="s">
        <v>90</v>
      </c>
      <c r="P37" s="12" t="s">
        <v>385</v>
      </c>
      <c r="Q37" s="12" t="s">
        <v>318</v>
      </c>
      <c r="R37" s="12" t="s">
        <v>269</v>
      </c>
      <c r="S37" s="12" t="s">
        <v>386</v>
      </c>
      <c r="T37" s="12" t="s">
        <v>387</v>
      </c>
    </row>
    <row r="38" spans="1:20" x14ac:dyDescent="0.2">
      <c r="A38" s="9">
        <v>1</v>
      </c>
      <c r="B38" s="10"/>
      <c r="C38" s="10" t="s">
        <v>91</v>
      </c>
      <c r="D38" s="10" t="s">
        <v>92</v>
      </c>
      <c r="E38" s="10" t="s">
        <v>196</v>
      </c>
      <c r="F38" s="10" t="s">
        <v>249</v>
      </c>
      <c r="G38" s="10" t="s">
        <v>183</v>
      </c>
      <c r="H38" s="10" t="s">
        <v>262</v>
      </c>
      <c r="I38" s="10" t="s">
        <v>251</v>
      </c>
      <c r="K38" s="10">
        <v>1</v>
      </c>
      <c r="L38" s="10"/>
      <c r="M38" s="10"/>
      <c r="N38" s="10" t="s">
        <v>91</v>
      </c>
      <c r="O38" s="10" t="s">
        <v>92</v>
      </c>
      <c r="P38" s="10" t="s">
        <v>292</v>
      </c>
      <c r="Q38" s="10" t="s">
        <v>388</v>
      </c>
      <c r="R38" s="10" t="s">
        <v>308</v>
      </c>
      <c r="S38" s="10" t="s">
        <v>389</v>
      </c>
      <c r="T38" s="10" t="s">
        <v>390</v>
      </c>
    </row>
    <row r="39" spans="1:20" s="13" customFormat="1" x14ac:dyDescent="0.2">
      <c r="A39" s="11">
        <v>1</v>
      </c>
      <c r="B39" s="12"/>
      <c r="C39" s="12" t="s">
        <v>93</v>
      </c>
      <c r="D39" s="12" t="s">
        <v>94</v>
      </c>
      <c r="E39" s="12" t="s">
        <v>196</v>
      </c>
      <c r="F39" s="12" t="s">
        <v>249</v>
      </c>
      <c r="G39" s="12" t="s">
        <v>151</v>
      </c>
      <c r="H39" s="12" t="s">
        <v>258</v>
      </c>
      <c r="I39" s="12" t="s">
        <v>241</v>
      </c>
      <c r="J39" s="13" t="s">
        <v>394</v>
      </c>
      <c r="K39" s="12">
        <v>1</v>
      </c>
      <c r="L39" s="12"/>
      <c r="M39" s="12"/>
      <c r="N39" s="12" t="s">
        <v>93</v>
      </c>
      <c r="O39" s="12" t="s">
        <v>94</v>
      </c>
      <c r="P39" s="12" t="s">
        <v>292</v>
      </c>
      <c r="Q39" s="12" t="s">
        <v>391</v>
      </c>
      <c r="R39" s="12" t="s">
        <v>308</v>
      </c>
      <c r="S39" s="12" t="s">
        <v>392</v>
      </c>
      <c r="T39" s="12" t="s">
        <v>393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fish_tiers_full</vt:lpstr>
      <vt:lpstr>Sheet1</vt:lpstr>
      <vt:lpstr>挑选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宋甫</dc:creator>
  <cp:lastModifiedBy>甫 宋</cp:lastModifiedBy>
  <dcterms:created xsi:type="dcterms:W3CDTF">2025-04-24T12:55:04Z</dcterms:created>
  <dcterms:modified xsi:type="dcterms:W3CDTF">2025-04-28T11:00:06Z</dcterms:modified>
</cp:coreProperties>
</file>